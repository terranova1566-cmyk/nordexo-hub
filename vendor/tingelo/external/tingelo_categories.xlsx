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adgetbay-my.sharepoint.com/personal/admin_gadgetbay_com/Documents/GadgetBay OneDrive Admin/Supabase Scripts/Shopify Collections/"/>
    </mc:Choice>
  </mc:AlternateContent>
  <xr:revisionPtr revIDLastSave="353" documentId="11_F25DC773A252ABDACC104879C9196C5A5BDE58ED" xr6:coauthVersionLast="47" xr6:coauthVersionMax="47" xr10:uidLastSave="{8312A3FB-6F70-4AB5-9D4B-AFAA007341BA}"/>
  <bookViews>
    <workbookView minimized="1" xWindow="4545" yWindow="-13860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1" l="1"/>
  <c r="B108" i="1"/>
  <c r="B109" i="1"/>
  <c r="B110" i="1"/>
  <c r="B111" i="1"/>
  <c r="B112" i="1"/>
  <c r="B113" i="1"/>
  <c r="B114" i="1"/>
  <c r="B115" i="1"/>
  <c r="B17" i="1"/>
  <c r="B116" i="1"/>
  <c r="B117" i="1"/>
  <c r="B118" i="1"/>
  <c r="B119" i="1"/>
  <c r="B120" i="1"/>
  <c r="B121" i="1"/>
  <c r="B19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60" i="1"/>
  <c r="B161" i="1"/>
  <c r="B313" i="1"/>
  <c r="B314" i="1"/>
  <c r="B315" i="1"/>
  <c r="B316" i="1"/>
  <c r="B317" i="1"/>
  <c r="B199" i="1"/>
  <c r="B200" i="1"/>
  <c r="B201" i="1"/>
  <c r="B202" i="1"/>
  <c r="B203" i="1"/>
  <c r="B204" i="1"/>
  <c r="B205" i="1"/>
  <c r="B206" i="1"/>
  <c r="B207" i="1"/>
  <c r="B219" i="1"/>
  <c r="B220" i="1"/>
  <c r="B221" i="1"/>
  <c r="B222" i="1"/>
  <c r="B223" i="1"/>
  <c r="B224" i="1"/>
  <c r="B225" i="1"/>
  <c r="B226" i="1"/>
  <c r="B227" i="1"/>
  <c r="B304" i="1"/>
  <c r="B305" i="1"/>
  <c r="B306" i="1"/>
  <c r="B307" i="1"/>
  <c r="B308" i="1"/>
  <c r="B309" i="1"/>
  <c r="B318" i="1"/>
  <c r="B319" i="1"/>
  <c r="B320" i="1"/>
  <c r="B321" i="1"/>
  <c r="B356" i="1"/>
  <c r="B357" i="1"/>
  <c r="B358" i="1"/>
  <c r="B359" i="1"/>
  <c r="B376" i="1"/>
  <c r="B377" i="1"/>
  <c r="B378" i="1"/>
  <c r="B379" i="1"/>
  <c r="B380" i="1"/>
  <c r="B411" i="1"/>
  <c r="B412" i="1"/>
  <c r="B413" i="1"/>
  <c r="B414" i="1"/>
  <c r="B415" i="1"/>
  <c r="B416" i="1"/>
  <c r="B417" i="1"/>
  <c r="B418" i="1"/>
  <c r="B419" i="1"/>
  <c r="B420" i="1"/>
  <c r="B421" i="1"/>
  <c r="B285" i="1"/>
  <c r="B286" i="1"/>
  <c r="B287" i="1"/>
  <c r="B288" i="1"/>
  <c r="B289" i="1"/>
  <c r="B290" i="1"/>
  <c r="B291" i="1"/>
  <c r="B292" i="1"/>
  <c r="B293" i="1"/>
  <c r="B325" i="1"/>
  <c r="B326" i="1"/>
  <c r="B327" i="1"/>
  <c r="B328" i="1"/>
  <c r="B329" i="1"/>
  <c r="B330" i="1"/>
  <c r="B331" i="1"/>
  <c r="B371" i="1"/>
  <c r="B372" i="1"/>
  <c r="B373" i="1"/>
  <c r="B374" i="1"/>
  <c r="B387" i="1"/>
  <c r="B66" i="1"/>
  <c r="B388" i="1"/>
  <c r="B389" i="1"/>
  <c r="B390" i="1"/>
  <c r="B391" i="1"/>
  <c r="B456" i="1"/>
  <c r="B457" i="1"/>
  <c r="B458" i="1"/>
  <c r="B459" i="1"/>
  <c r="B460" i="1"/>
  <c r="B461" i="1"/>
  <c r="B462" i="1"/>
  <c r="B463" i="1"/>
  <c r="B464" i="1"/>
  <c r="B470" i="1"/>
  <c r="B471" i="1"/>
  <c r="B472" i="1"/>
  <c r="B473" i="1"/>
  <c r="B474" i="1"/>
  <c r="B475" i="1"/>
  <c r="B476" i="1"/>
  <c r="B477" i="1"/>
  <c r="B136" i="1"/>
  <c r="B137" i="1"/>
  <c r="B138" i="1"/>
  <c r="B139" i="1"/>
  <c r="B23" i="1"/>
  <c r="B140" i="1"/>
  <c r="B141" i="1"/>
  <c r="B142" i="1"/>
  <c r="B143" i="1"/>
  <c r="B174" i="1"/>
  <c r="B175" i="1"/>
  <c r="B176" i="1"/>
  <c r="B177" i="1"/>
  <c r="B178" i="1"/>
  <c r="B179" i="1"/>
  <c r="B180" i="1"/>
  <c r="B181" i="1"/>
  <c r="B208" i="1"/>
  <c r="B209" i="1"/>
  <c r="B210" i="1"/>
  <c r="B211" i="1"/>
  <c r="B212" i="1"/>
  <c r="B213" i="1"/>
  <c r="B233" i="1"/>
  <c r="B234" i="1"/>
  <c r="B235" i="1"/>
  <c r="B236" i="1"/>
  <c r="B237" i="1"/>
  <c r="B238" i="1"/>
  <c r="B239" i="1"/>
  <c r="B392" i="1"/>
  <c r="B68" i="1"/>
  <c r="B69" i="1"/>
  <c r="B393" i="1"/>
  <c r="B394" i="1"/>
  <c r="B395" i="1"/>
  <c r="B396" i="1"/>
  <c r="B397" i="1"/>
  <c r="B400" i="1"/>
  <c r="B401" i="1"/>
  <c r="B402" i="1"/>
  <c r="B403" i="1"/>
  <c r="B447" i="1"/>
  <c r="B448" i="1"/>
  <c r="B449" i="1"/>
  <c r="B450" i="1"/>
  <c r="B451" i="1"/>
  <c r="B82" i="1"/>
  <c r="B83" i="1"/>
  <c r="B84" i="1"/>
  <c r="B85" i="1"/>
  <c r="B86" i="1"/>
  <c r="B87" i="1"/>
  <c r="B88" i="1"/>
  <c r="B89" i="1"/>
  <c r="B90" i="1"/>
  <c r="B91" i="1"/>
  <c r="B92" i="1"/>
  <c r="B94" i="1"/>
  <c r="B95" i="1"/>
  <c r="B96" i="1"/>
  <c r="B97" i="1"/>
  <c r="B98" i="1"/>
  <c r="B99" i="1"/>
  <c r="B100" i="1"/>
  <c r="B101" i="1"/>
  <c r="B102" i="1"/>
  <c r="B103" i="1"/>
  <c r="B14" i="1"/>
  <c r="B104" i="1"/>
  <c r="B105" i="1"/>
  <c r="B106" i="1"/>
  <c r="B107" i="1"/>
  <c r="B144" i="1"/>
  <c r="B145" i="1"/>
  <c r="B146" i="1"/>
  <c r="B147" i="1"/>
  <c r="B148" i="1"/>
  <c r="B149" i="1"/>
  <c r="B154" i="1"/>
  <c r="B155" i="1"/>
  <c r="B156" i="1"/>
  <c r="B157" i="1"/>
  <c r="B158" i="1"/>
  <c r="B159" i="1"/>
  <c r="B169" i="1"/>
  <c r="B170" i="1"/>
  <c r="B171" i="1"/>
  <c r="B172" i="1"/>
  <c r="B173" i="1"/>
  <c r="B228" i="1"/>
  <c r="B229" i="1"/>
  <c r="B230" i="1"/>
  <c r="B231" i="1"/>
  <c r="B232" i="1"/>
  <c r="B294" i="1"/>
  <c r="B295" i="1"/>
  <c r="B296" i="1"/>
  <c r="B297" i="1"/>
  <c r="B298" i="1"/>
  <c r="B299" i="1"/>
  <c r="B300" i="1"/>
  <c r="B301" i="1"/>
  <c r="B302" i="1"/>
  <c r="B303" i="1"/>
  <c r="B322" i="1"/>
  <c r="B323" i="1"/>
  <c r="B324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59" i="1"/>
  <c r="B351" i="1"/>
  <c r="B352" i="1"/>
  <c r="B353" i="1"/>
  <c r="B354" i="1"/>
  <c r="B355" i="1"/>
  <c r="B366" i="1"/>
  <c r="B367" i="1"/>
  <c r="B368" i="1"/>
  <c r="B369" i="1"/>
  <c r="B370" i="1"/>
  <c r="B452" i="1"/>
  <c r="B453" i="1"/>
  <c r="B454" i="1"/>
  <c r="B455" i="1"/>
  <c r="B150" i="1"/>
  <c r="B151" i="1"/>
  <c r="B152" i="1"/>
  <c r="B153" i="1"/>
  <c r="B246" i="1"/>
  <c r="B247" i="1"/>
  <c r="B248" i="1"/>
  <c r="B249" i="1"/>
  <c r="B250" i="1"/>
  <c r="B251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404" i="1"/>
  <c r="B405" i="1"/>
  <c r="B406" i="1"/>
  <c r="B407" i="1"/>
  <c r="B408" i="1"/>
  <c r="B409" i="1"/>
  <c r="B410" i="1"/>
  <c r="B194" i="1"/>
  <c r="B195" i="1"/>
  <c r="B196" i="1"/>
  <c r="B197" i="1"/>
  <c r="B198" i="1"/>
  <c r="B240" i="1"/>
  <c r="B241" i="1"/>
  <c r="B242" i="1"/>
  <c r="B243" i="1"/>
  <c r="B244" i="1"/>
  <c r="B245" i="1"/>
  <c r="B252" i="1"/>
  <c r="B253" i="1"/>
  <c r="B254" i="1"/>
  <c r="B43" i="1"/>
  <c r="B255" i="1"/>
  <c r="B256" i="1"/>
  <c r="B257" i="1"/>
  <c r="B258" i="1"/>
  <c r="B310" i="1"/>
  <c r="B311" i="1"/>
  <c r="B312" i="1"/>
  <c r="B332" i="1"/>
  <c r="B333" i="1"/>
  <c r="B334" i="1"/>
  <c r="B335" i="1"/>
  <c r="B381" i="1"/>
  <c r="B382" i="1"/>
  <c r="B383" i="1"/>
  <c r="B384" i="1"/>
  <c r="B385" i="1"/>
  <c r="B386" i="1"/>
  <c r="B398" i="1"/>
  <c r="B399" i="1"/>
  <c r="B422" i="1"/>
  <c r="B423" i="1"/>
  <c r="B424" i="1"/>
  <c r="B425" i="1"/>
  <c r="B426" i="1"/>
  <c r="B465" i="1"/>
  <c r="B466" i="1"/>
  <c r="B467" i="1"/>
  <c r="B468" i="1"/>
  <c r="B469" i="1"/>
  <c r="B162" i="1"/>
  <c r="B163" i="1"/>
  <c r="B164" i="1"/>
  <c r="B165" i="1"/>
  <c r="B166" i="1"/>
  <c r="B167" i="1"/>
  <c r="B168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214" i="1"/>
  <c r="B215" i="1"/>
  <c r="B216" i="1"/>
  <c r="B217" i="1"/>
  <c r="B218" i="1"/>
  <c r="B360" i="1"/>
  <c r="B361" i="1"/>
  <c r="B362" i="1"/>
  <c r="B363" i="1"/>
  <c r="B364" i="1"/>
  <c r="B365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12" i="1"/>
  <c r="B15" i="1"/>
  <c r="B16" i="1"/>
  <c r="B18" i="1"/>
  <c r="B20" i="1"/>
  <c r="B21" i="1"/>
  <c r="B27" i="1"/>
  <c r="B51" i="1"/>
  <c r="B33" i="1"/>
  <c r="B34" i="1"/>
  <c r="B37" i="1"/>
  <c r="B49" i="1"/>
  <c r="B52" i="1"/>
  <c r="B60" i="1"/>
  <c r="B375" i="1"/>
  <c r="B73" i="1"/>
  <c r="B47" i="1"/>
  <c r="B54" i="1"/>
  <c r="B63" i="1"/>
  <c r="B65" i="1"/>
  <c r="B79" i="1"/>
  <c r="B81" i="1"/>
  <c r="B22" i="1"/>
  <c r="B30" i="1"/>
  <c r="B35" i="1"/>
  <c r="B39" i="1"/>
  <c r="B67" i="1"/>
  <c r="B71" i="1"/>
  <c r="B77" i="1"/>
  <c r="B10" i="1"/>
  <c r="B11" i="1"/>
  <c r="B13" i="1"/>
  <c r="B24" i="1"/>
  <c r="B26" i="1"/>
  <c r="B29" i="1"/>
  <c r="B38" i="1"/>
  <c r="B48" i="1"/>
  <c r="B53" i="1"/>
  <c r="B56" i="1"/>
  <c r="B57" i="1"/>
  <c r="B58" i="1"/>
  <c r="B62" i="1"/>
  <c r="B78" i="1"/>
  <c r="B25" i="1"/>
  <c r="B41" i="1"/>
  <c r="B44" i="1"/>
  <c r="B45" i="1"/>
  <c r="B46" i="1"/>
  <c r="B72" i="1"/>
  <c r="B32" i="1"/>
  <c r="B40" i="1"/>
  <c r="B42" i="1"/>
  <c r="B50" i="1"/>
  <c r="B55" i="1"/>
  <c r="B64" i="1"/>
  <c r="B70" i="1"/>
  <c r="B74" i="1"/>
  <c r="B80" i="1"/>
  <c r="B28" i="1"/>
  <c r="B31" i="1"/>
  <c r="B36" i="1"/>
  <c r="B61" i="1"/>
  <c r="B75" i="1"/>
  <c r="B76" i="1"/>
  <c r="B2" i="1"/>
  <c r="B478" i="1"/>
  <c r="B3" i="1"/>
  <c r="B4" i="1"/>
  <c r="B5" i="1"/>
  <c r="B6" i="1"/>
  <c r="B7" i="1"/>
  <c r="B8" i="1"/>
  <c r="B9" i="1"/>
  <c r="P93" i="1"/>
  <c r="P108" i="1"/>
  <c r="P109" i="1"/>
  <c r="P110" i="1"/>
  <c r="P111" i="1"/>
  <c r="P112" i="1"/>
  <c r="P113" i="1"/>
  <c r="P114" i="1"/>
  <c r="P115" i="1"/>
  <c r="P17" i="1"/>
  <c r="P116" i="1"/>
  <c r="P117" i="1"/>
  <c r="P118" i="1"/>
  <c r="P119" i="1"/>
  <c r="P120" i="1"/>
  <c r="P121" i="1"/>
  <c r="P19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60" i="1"/>
  <c r="P161" i="1"/>
  <c r="P313" i="1"/>
  <c r="P314" i="1"/>
  <c r="P315" i="1"/>
  <c r="P316" i="1"/>
  <c r="P317" i="1"/>
  <c r="P199" i="1"/>
  <c r="P200" i="1"/>
  <c r="P201" i="1"/>
  <c r="P202" i="1"/>
  <c r="P203" i="1"/>
  <c r="P204" i="1"/>
  <c r="P205" i="1"/>
  <c r="P206" i="1"/>
  <c r="P207" i="1"/>
  <c r="P219" i="1"/>
  <c r="P220" i="1"/>
  <c r="P221" i="1"/>
  <c r="P222" i="1"/>
  <c r="P223" i="1"/>
  <c r="P224" i="1"/>
  <c r="P225" i="1"/>
  <c r="P226" i="1"/>
  <c r="P227" i="1"/>
  <c r="P304" i="1"/>
  <c r="P305" i="1"/>
  <c r="P306" i="1"/>
  <c r="P307" i="1"/>
  <c r="P308" i="1"/>
  <c r="P309" i="1"/>
  <c r="P318" i="1"/>
  <c r="P319" i="1"/>
  <c r="P320" i="1"/>
  <c r="P321" i="1"/>
  <c r="P356" i="1"/>
  <c r="P357" i="1"/>
  <c r="P358" i="1"/>
  <c r="P359" i="1"/>
  <c r="P376" i="1"/>
  <c r="P377" i="1"/>
  <c r="P378" i="1"/>
  <c r="P379" i="1"/>
  <c r="P380" i="1"/>
  <c r="P411" i="1"/>
  <c r="P412" i="1"/>
  <c r="P413" i="1"/>
  <c r="P414" i="1"/>
  <c r="P415" i="1"/>
  <c r="P416" i="1"/>
  <c r="P417" i="1"/>
  <c r="P418" i="1"/>
  <c r="P419" i="1"/>
  <c r="P420" i="1"/>
  <c r="P421" i="1"/>
  <c r="P285" i="1"/>
  <c r="P286" i="1"/>
  <c r="P287" i="1"/>
  <c r="P288" i="1"/>
  <c r="P289" i="1"/>
  <c r="P290" i="1"/>
  <c r="P291" i="1"/>
  <c r="P292" i="1"/>
  <c r="P293" i="1"/>
  <c r="P325" i="1"/>
  <c r="P326" i="1"/>
  <c r="P327" i="1"/>
  <c r="P328" i="1"/>
  <c r="P329" i="1"/>
  <c r="P330" i="1"/>
  <c r="P331" i="1"/>
  <c r="P371" i="1"/>
  <c r="P372" i="1"/>
  <c r="P373" i="1"/>
  <c r="P374" i="1"/>
  <c r="P387" i="1"/>
  <c r="P66" i="1"/>
  <c r="P388" i="1"/>
  <c r="P389" i="1"/>
  <c r="P390" i="1"/>
  <c r="P391" i="1"/>
  <c r="P456" i="1"/>
  <c r="P457" i="1"/>
  <c r="P458" i="1"/>
  <c r="P459" i="1"/>
  <c r="P460" i="1"/>
  <c r="P461" i="1"/>
  <c r="P462" i="1"/>
  <c r="P463" i="1"/>
  <c r="P464" i="1"/>
  <c r="P470" i="1"/>
  <c r="P471" i="1"/>
  <c r="P472" i="1"/>
  <c r="P473" i="1"/>
  <c r="P474" i="1"/>
  <c r="P475" i="1"/>
  <c r="P476" i="1"/>
  <c r="P477" i="1"/>
  <c r="P136" i="1"/>
  <c r="P137" i="1"/>
  <c r="P138" i="1"/>
  <c r="P139" i="1"/>
  <c r="P23" i="1"/>
  <c r="P140" i="1"/>
  <c r="P141" i="1"/>
  <c r="P142" i="1"/>
  <c r="P143" i="1"/>
  <c r="P174" i="1"/>
  <c r="P175" i="1"/>
  <c r="P176" i="1"/>
  <c r="P177" i="1"/>
  <c r="P178" i="1"/>
  <c r="P179" i="1"/>
  <c r="P180" i="1"/>
  <c r="P181" i="1"/>
  <c r="P208" i="1"/>
  <c r="P209" i="1"/>
  <c r="P210" i="1"/>
  <c r="P211" i="1"/>
  <c r="P212" i="1"/>
  <c r="P213" i="1"/>
  <c r="P233" i="1"/>
  <c r="P234" i="1"/>
  <c r="P235" i="1"/>
  <c r="P236" i="1"/>
  <c r="P237" i="1"/>
  <c r="P238" i="1"/>
  <c r="P239" i="1"/>
  <c r="P392" i="1"/>
  <c r="P68" i="1"/>
  <c r="P69" i="1"/>
  <c r="P393" i="1"/>
  <c r="P394" i="1"/>
  <c r="P395" i="1"/>
  <c r="P396" i="1"/>
  <c r="P397" i="1"/>
  <c r="P400" i="1"/>
  <c r="P401" i="1"/>
  <c r="P402" i="1"/>
  <c r="P403" i="1"/>
  <c r="P447" i="1"/>
  <c r="P448" i="1"/>
  <c r="P449" i="1"/>
  <c r="P450" i="1"/>
  <c r="P451" i="1"/>
  <c r="P82" i="1"/>
  <c r="P83" i="1"/>
  <c r="P84" i="1"/>
  <c r="P85" i="1"/>
  <c r="P86" i="1"/>
  <c r="P87" i="1"/>
  <c r="P88" i="1"/>
  <c r="P89" i="1"/>
  <c r="P90" i="1"/>
  <c r="P91" i="1"/>
  <c r="P92" i="1"/>
  <c r="P94" i="1"/>
  <c r="P95" i="1"/>
  <c r="P96" i="1"/>
  <c r="P97" i="1"/>
  <c r="P98" i="1"/>
  <c r="P99" i="1"/>
  <c r="P100" i="1"/>
  <c r="P101" i="1"/>
  <c r="P102" i="1"/>
  <c r="P103" i="1"/>
  <c r="P14" i="1"/>
  <c r="P104" i="1"/>
  <c r="P105" i="1"/>
  <c r="P106" i="1"/>
  <c r="P107" i="1"/>
  <c r="P144" i="1"/>
  <c r="P145" i="1"/>
  <c r="P146" i="1"/>
  <c r="P147" i="1"/>
  <c r="P148" i="1"/>
  <c r="P149" i="1"/>
  <c r="P154" i="1"/>
  <c r="P155" i="1"/>
  <c r="P156" i="1"/>
  <c r="P157" i="1"/>
  <c r="P158" i="1"/>
  <c r="P159" i="1"/>
  <c r="P169" i="1"/>
  <c r="P170" i="1"/>
  <c r="P171" i="1"/>
  <c r="P172" i="1"/>
  <c r="P173" i="1"/>
  <c r="P228" i="1"/>
  <c r="P229" i="1"/>
  <c r="P230" i="1"/>
  <c r="P231" i="1"/>
  <c r="P232" i="1"/>
  <c r="P294" i="1"/>
  <c r="P295" i="1"/>
  <c r="P296" i="1"/>
  <c r="P297" i="1"/>
  <c r="P298" i="1"/>
  <c r="P299" i="1"/>
  <c r="P300" i="1"/>
  <c r="P301" i="1"/>
  <c r="P302" i="1"/>
  <c r="P303" i="1"/>
  <c r="P322" i="1"/>
  <c r="P323" i="1"/>
  <c r="P324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59" i="1"/>
  <c r="P351" i="1"/>
  <c r="P352" i="1"/>
  <c r="P353" i="1"/>
  <c r="P354" i="1"/>
  <c r="P355" i="1"/>
  <c r="P366" i="1"/>
  <c r="P367" i="1"/>
  <c r="P368" i="1"/>
  <c r="P369" i="1"/>
  <c r="P370" i="1"/>
  <c r="P452" i="1"/>
  <c r="P453" i="1"/>
  <c r="P454" i="1"/>
  <c r="P455" i="1"/>
  <c r="P150" i="1"/>
  <c r="P151" i="1"/>
  <c r="P152" i="1"/>
  <c r="P153" i="1"/>
  <c r="P246" i="1"/>
  <c r="P247" i="1"/>
  <c r="P248" i="1"/>
  <c r="P249" i="1"/>
  <c r="P250" i="1"/>
  <c r="P251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404" i="1"/>
  <c r="P405" i="1"/>
  <c r="P406" i="1"/>
  <c r="P407" i="1"/>
  <c r="P408" i="1"/>
  <c r="P409" i="1"/>
  <c r="P410" i="1"/>
  <c r="P194" i="1"/>
  <c r="P195" i="1"/>
  <c r="P196" i="1"/>
  <c r="P197" i="1"/>
  <c r="P198" i="1"/>
  <c r="P240" i="1"/>
  <c r="P241" i="1"/>
  <c r="P242" i="1"/>
  <c r="P243" i="1"/>
  <c r="P244" i="1"/>
  <c r="P245" i="1"/>
  <c r="P252" i="1"/>
  <c r="P253" i="1"/>
  <c r="P254" i="1"/>
  <c r="P43" i="1"/>
  <c r="P255" i="1"/>
  <c r="P256" i="1"/>
  <c r="P257" i="1"/>
  <c r="P258" i="1"/>
  <c r="P310" i="1"/>
  <c r="P311" i="1"/>
  <c r="P312" i="1"/>
  <c r="P332" i="1"/>
  <c r="P333" i="1"/>
  <c r="P334" i="1"/>
  <c r="P335" i="1"/>
  <c r="P381" i="1"/>
  <c r="P382" i="1"/>
  <c r="P383" i="1"/>
  <c r="P384" i="1"/>
  <c r="P385" i="1"/>
  <c r="P386" i="1"/>
  <c r="P398" i="1"/>
  <c r="P399" i="1"/>
  <c r="P422" i="1"/>
  <c r="P423" i="1"/>
  <c r="P424" i="1"/>
  <c r="P425" i="1"/>
  <c r="P426" i="1"/>
  <c r="P465" i="1"/>
  <c r="P466" i="1"/>
  <c r="P467" i="1"/>
  <c r="P468" i="1"/>
  <c r="P469" i="1"/>
  <c r="P162" i="1"/>
  <c r="P163" i="1"/>
  <c r="P164" i="1"/>
  <c r="P165" i="1"/>
  <c r="P166" i="1"/>
  <c r="P167" i="1"/>
  <c r="P168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214" i="1"/>
  <c r="P215" i="1"/>
  <c r="P216" i="1"/>
  <c r="P217" i="1"/>
  <c r="P218" i="1"/>
  <c r="P360" i="1"/>
  <c r="P361" i="1"/>
  <c r="P362" i="1"/>
  <c r="P363" i="1"/>
  <c r="P364" i="1"/>
  <c r="P365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12" i="1"/>
  <c r="P15" i="1"/>
  <c r="P16" i="1"/>
  <c r="P18" i="1"/>
  <c r="P20" i="1"/>
  <c r="P21" i="1"/>
  <c r="P27" i="1"/>
  <c r="P51" i="1"/>
  <c r="P33" i="1"/>
  <c r="P34" i="1"/>
  <c r="P37" i="1"/>
  <c r="P49" i="1"/>
  <c r="P52" i="1"/>
  <c r="P60" i="1"/>
  <c r="P375" i="1"/>
  <c r="P73" i="1"/>
  <c r="P47" i="1"/>
  <c r="P54" i="1"/>
  <c r="P63" i="1"/>
  <c r="P65" i="1"/>
  <c r="P79" i="1"/>
  <c r="P81" i="1"/>
  <c r="P22" i="1"/>
  <c r="P30" i="1"/>
  <c r="P35" i="1"/>
  <c r="P39" i="1"/>
  <c r="P67" i="1"/>
  <c r="P71" i="1"/>
  <c r="P77" i="1"/>
  <c r="P10" i="1"/>
  <c r="P11" i="1"/>
  <c r="P13" i="1"/>
  <c r="P24" i="1"/>
  <c r="P26" i="1"/>
  <c r="P29" i="1"/>
  <c r="P38" i="1"/>
  <c r="P48" i="1"/>
  <c r="P53" i="1"/>
  <c r="P56" i="1"/>
  <c r="P57" i="1"/>
  <c r="P58" i="1"/>
  <c r="P62" i="1"/>
  <c r="P78" i="1"/>
  <c r="P25" i="1"/>
  <c r="P41" i="1"/>
  <c r="P44" i="1"/>
  <c r="P45" i="1"/>
  <c r="P46" i="1"/>
  <c r="P72" i="1"/>
  <c r="P32" i="1"/>
  <c r="P40" i="1"/>
  <c r="P42" i="1"/>
  <c r="P50" i="1"/>
  <c r="P55" i="1"/>
  <c r="P64" i="1"/>
  <c r="P70" i="1"/>
  <c r="P74" i="1"/>
  <c r="P80" i="1"/>
  <c r="P28" i="1"/>
  <c r="P31" i="1"/>
  <c r="P36" i="1"/>
  <c r="P61" i="1"/>
  <c r="P75" i="1"/>
  <c r="P76" i="1"/>
  <c r="P2" i="1"/>
  <c r="P478" i="1"/>
  <c r="P3" i="1"/>
  <c r="P4" i="1"/>
  <c r="P5" i="1"/>
  <c r="P6" i="1"/>
  <c r="P7" i="1"/>
  <c r="P8" i="1"/>
  <c r="P9" i="1"/>
  <c r="O93" i="1"/>
  <c r="O108" i="1"/>
  <c r="O109" i="1"/>
  <c r="O110" i="1"/>
  <c r="O111" i="1"/>
  <c r="O112" i="1"/>
  <c r="O113" i="1"/>
  <c r="O114" i="1"/>
  <c r="O115" i="1"/>
  <c r="O17" i="1"/>
  <c r="O116" i="1"/>
  <c r="O117" i="1"/>
  <c r="O118" i="1"/>
  <c r="O119" i="1"/>
  <c r="O120" i="1"/>
  <c r="O121" i="1"/>
  <c r="O19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60" i="1"/>
  <c r="O161" i="1"/>
  <c r="O313" i="1"/>
  <c r="O314" i="1"/>
  <c r="O315" i="1"/>
  <c r="O316" i="1"/>
  <c r="O317" i="1"/>
  <c r="O199" i="1"/>
  <c r="O200" i="1"/>
  <c r="O201" i="1"/>
  <c r="O202" i="1"/>
  <c r="O203" i="1"/>
  <c r="O204" i="1"/>
  <c r="O205" i="1"/>
  <c r="O206" i="1"/>
  <c r="O207" i="1"/>
  <c r="O219" i="1"/>
  <c r="O220" i="1"/>
  <c r="O221" i="1"/>
  <c r="O222" i="1"/>
  <c r="O223" i="1"/>
  <c r="O224" i="1"/>
  <c r="O225" i="1"/>
  <c r="O226" i="1"/>
  <c r="O227" i="1"/>
  <c r="O304" i="1"/>
  <c r="O305" i="1"/>
  <c r="O306" i="1"/>
  <c r="O307" i="1"/>
  <c r="O308" i="1"/>
  <c r="O309" i="1"/>
  <c r="O318" i="1"/>
  <c r="O319" i="1"/>
  <c r="O320" i="1"/>
  <c r="O321" i="1"/>
  <c r="O356" i="1"/>
  <c r="O357" i="1"/>
  <c r="O358" i="1"/>
  <c r="O359" i="1"/>
  <c r="O376" i="1"/>
  <c r="O377" i="1"/>
  <c r="O378" i="1"/>
  <c r="O379" i="1"/>
  <c r="O380" i="1"/>
  <c r="O411" i="1"/>
  <c r="O412" i="1"/>
  <c r="O413" i="1"/>
  <c r="O414" i="1"/>
  <c r="O415" i="1"/>
  <c r="O416" i="1"/>
  <c r="O417" i="1"/>
  <c r="O418" i="1"/>
  <c r="O419" i="1"/>
  <c r="O420" i="1"/>
  <c r="O421" i="1"/>
  <c r="O285" i="1"/>
  <c r="O286" i="1"/>
  <c r="O287" i="1"/>
  <c r="O288" i="1"/>
  <c r="O289" i="1"/>
  <c r="O290" i="1"/>
  <c r="O291" i="1"/>
  <c r="O292" i="1"/>
  <c r="O293" i="1"/>
  <c r="O325" i="1"/>
  <c r="O326" i="1"/>
  <c r="O327" i="1"/>
  <c r="O328" i="1"/>
  <c r="O329" i="1"/>
  <c r="O330" i="1"/>
  <c r="O331" i="1"/>
  <c r="O371" i="1"/>
  <c r="O372" i="1"/>
  <c r="O373" i="1"/>
  <c r="O374" i="1"/>
  <c r="O387" i="1"/>
  <c r="O66" i="1"/>
  <c r="O388" i="1"/>
  <c r="O389" i="1"/>
  <c r="O390" i="1"/>
  <c r="O391" i="1"/>
  <c r="O456" i="1"/>
  <c r="O457" i="1"/>
  <c r="O458" i="1"/>
  <c r="O459" i="1"/>
  <c r="O460" i="1"/>
  <c r="O461" i="1"/>
  <c r="O462" i="1"/>
  <c r="O463" i="1"/>
  <c r="O464" i="1"/>
  <c r="O470" i="1"/>
  <c r="O471" i="1"/>
  <c r="O472" i="1"/>
  <c r="O473" i="1"/>
  <c r="O474" i="1"/>
  <c r="O475" i="1"/>
  <c r="O476" i="1"/>
  <c r="O477" i="1"/>
  <c r="O136" i="1"/>
  <c r="O137" i="1"/>
  <c r="O138" i="1"/>
  <c r="O139" i="1"/>
  <c r="O23" i="1"/>
  <c r="O140" i="1"/>
  <c r="O141" i="1"/>
  <c r="O142" i="1"/>
  <c r="O143" i="1"/>
  <c r="O174" i="1"/>
  <c r="O175" i="1"/>
  <c r="O176" i="1"/>
  <c r="O177" i="1"/>
  <c r="O178" i="1"/>
  <c r="O179" i="1"/>
  <c r="O180" i="1"/>
  <c r="O181" i="1"/>
  <c r="O208" i="1"/>
  <c r="O209" i="1"/>
  <c r="O210" i="1"/>
  <c r="O211" i="1"/>
  <c r="O212" i="1"/>
  <c r="O213" i="1"/>
  <c r="O233" i="1"/>
  <c r="O234" i="1"/>
  <c r="O235" i="1"/>
  <c r="O236" i="1"/>
  <c r="O237" i="1"/>
  <c r="O238" i="1"/>
  <c r="O239" i="1"/>
  <c r="O392" i="1"/>
  <c r="O68" i="1"/>
  <c r="O69" i="1"/>
  <c r="O393" i="1"/>
  <c r="O394" i="1"/>
  <c r="O395" i="1"/>
  <c r="O396" i="1"/>
  <c r="O397" i="1"/>
  <c r="O400" i="1"/>
  <c r="O401" i="1"/>
  <c r="O402" i="1"/>
  <c r="O403" i="1"/>
  <c r="O447" i="1"/>
  <c r="O448" i="1"/>
  <c r="O449" i="1"/>
  <c r="O450" i="1"/>
  <c r="O451" i="1"/>
  <c r="O82" i="1"/>
  <c r="O83" i="1"/>
  <c r="O84" i="1"/>
  <c r="O85" i="1"/>
  <c r="O86" i="1"/>
  <c r="O87" i="1"/>
  <c r="O88" i="1"/>
  <c r="O89" i="1"/>
  <c r="O90" i="1"/>
  <c r="O91" i="1"/>
  <c r="O92" i="1"/>
  <c r="O94" i="1"/>
  <c r="O95" i="1"/>
  <c r="O96" i="1"/>
  <c r="O97" i="1"/>
  <c r="O98" i="1"/>
  <c r="O99" i="1"/>
  <c r="O100" i="1"/>
  <c r="O101" i="1"/>
  <c r="O102" i="1"/>
  <c r="O103" i="1"/>
  <c r="O14" i="1"/>
  <c r="O104" i="1"/>
  <c r="O105" i="1"/>
  <c r="O106" i="1"/>
  <c r="O107" i="1"/>
  <c r="O144" i="1"/>
  <c r="O145" i="1"/>
  <c r="O146" i="1"/>
  <c r="O147" i="1"/>
  <c r="O148" i="1"/>
  <c r="O149" i="1"/>
  <c r="O154" i="1"/>
  <c r="O155" i="1"/>
  <c r="O156" i="1"/>
  <c r="O157" i="1"/>
  <c r="O158" i="1"/>
  <c r="O159" i="1"/>
  <c r="O169" i="1"/>
  <c r="O170" i="1"/>
  <c r="O171" i="1"/>
  <c r="O172" i="1"/>
  <c r="O173" i="1"/>
  <c r="O228" i="1"/>
  <c r="O229" i="1"/>
  <c r="O230" i="1"/>
  <c r="O231" i="1"/>
  <c r="O232" i="1"/>
  <c r="O294" i="1"/>
  <c r="O295" i="1"/>
  <c r="O296" i="1"/>
  <c r="O297" i="1"/>
  <c r="O298" i="1"/>
  <c r="O299" i="1"/>
  <c r="O300" i="1"/>
  <c r="O301" i="1"/>
  <c r="O302" i="1"/>
  <c r="O303" i="1"/>
  <c r="O322" i="1"/>
  <c r="O323" i="1"/>
  <c r="O324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59" i="1"/>
  <c r="O351" i="1"/>
  <c r="O352" i="1"/>
  <c r="O353" i="1"/>
  <c r="O354" i="1"/>
  <c r="O355" i="1"/>
  <c r="O366" i="1"/>
  <c r="O367" i="1"/>
  <c r="O368" i="1"/>
  <c r="O369" i="1"/>
  <c r="O370" i="1"/>
  <c r="O452" i="1"/>
  <c r="O453" i="1"/>
  <c r="O454" i="1"/>
  <c r="O455" i="1"/>
  <c r="O150" i="1"/>
  <c r="O151" i="1"/>
  <c r="O152" i="1"/>
  <c r="O153" i="1"/>
  <c r="O246" i="1"/>
  <c r="O247" i="1"/>
  <c r="O248" i="1"/>
  <c r="O249" i="1"/>
  <c r="O250" i="1"/>
  <c r="O251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404" i="1"/>
  <c r="O405" i="1"/>
  <c r="O406" i="1"/>
  <c r="O407" i="1"/>
  <c r="O408" i="1"/>
  <c r="O409" i="1"/>
  <c r="O410" i="1"/>
  <c r="O194" i="1"/>
  <c r="O195" i="1"/>
  <c r="O196" i="1"/>
  <c r="O197" i="1"/>
  <c r="O198" i="1"/>
  <c r="O240" i="1"/>
  <c r="O241" i="1"/>
  <c r="O242" i="1"/>
  <c r="O243" i="1"/>
  <c r="O244" i="1"/>
  <c r="O245" i="1"/>
  <c r="O252" i="1"/>
  <c r="O253" i="1"/>
  <c r="O254" i="1"/>
  <c r="O43" i="1"/>
  <c r="O255" i="1"/>
  <c r="O256" i="1"/>
  <c r="O257" i="1"/>
  <c r="O258" i="1"/>
  <c r="O310" i="1"/>
  <c r="O311" i="1"/>
  <c r="O312" i="1"/>
  <c r="O332" i="1"/>
  <c r="O333" i="1"/>
  <c r="O334" i="1"/>
  <c r="O335" i="1"/>
  <c r="O381" i="1"/>
  <c r="O382" i="1"/>
  <c r="O383" i="1"/>
  <c r="O384" i="1"/>
  <c r="O385" i="1"/>
  <c r="O386" i="1"/>
  <c r="O398" i="1"/>
  <c r="O399" i="1"/>
  <c r="O422" i="1"/>
  <c r="O423" i="1"/>
  <c r="O424" i="1"/>
  <c r="O425" i="1"/>
  <c r="O426" i="1"/>
  <c r="O465" i="1"/>
  <c r="O466" i="1"/>
  <c r="O467" i="1"/>
  <c r="O468" i="1"/>
  <c r="O469" i="1"/>
  <c r="O162" i="1"/>
  <c r="O163" i="1"/>
  <c r="O164" i="1"/>
  <c r="O165" i="1"/>
  <c r="O166" i="1"/>
  <c r="O167" i="1"/>
  <c r="O168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214" i="1"/>
  <c r="O215" i="1"/>
  <c r="O216" i="1"/>
  <c r="O217" i="1"/>
  <c r="O218" i="1"/>
  <c r="O360" i="1"/>
  <c r="O361" i="1"/>
  <c r="O362" i="1"/>
  <c r="O363" i="1"/>
  <c r="O364" i="1"/>
  <c r="O365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12" i="1"/>
  <c r="O15" i="1"/>
  <c r="O16" i="1"/>
  <c r="O18" i="1"/>
  <c r="O20" i="1"/>
  <c r="O21" i="1"/>
  <c r="O27" i="1"/>
  <c r="O51" i="1"/>
  <c r="O33" i="1"/>
  <c r="O34" i="1"/>
  <c r="O37" i="1"/>
  <c r="O49" i="1"/>
  <c r="O52" i="1"/>
  <c r="O60" i="1"/>
  <c r="O375" i="1"/>
  <c r="O73" i="1"/>
  <c r="O47" i="1"/>
  <c r="O54" i="1"/>
  <c r="O63" i="1"/>
  <c r="O65" i="1"/>
  <c r="O79" i="1"/>
  <c r="O81" i="1"/>
  <c r="O22" i="1"/>
  <c r="O30" i="1"/>
  <c r="O35" i="1"/>
  <c r="O39" i="1"/>
  <c r="O67" i="1"/>
  <c r="O71" i="1"/>
  <c r="O77" i="1"/>
  <c r="O10" i="1"/>
  <c r="O11" i="1"/>
  <c r="O13" i="1"/>
  <c r="O24" i="1"/>
  <c r="O26" i="1"/>
  <c r="O29" i="1"/>
  <c r="O38" i="1"/>
  <c r="O48" i="1"/>
  <c r="O53" i="1"/>
  <c r="O56" i="1"/>
  <c r="O57" i="1"/>
  <c r="O58" i="1"/>
  <c r="O62" i="1"/>
  <c r="O78" i="1"/>
  <c r="O25" i="1"/>
  <c r="O41" i="1"/>
  <c r="O44" i="1"/>
  <c r="O45" i="1"/>
  <c r="O46" i="1"/>
  <c r="O72" i="1"/>
  <c r="O32" i="1"/>
  <c r="O40" i="1"/>
  <c r="O42" i="1"/>
  <c r="O50" i="1"/>
  <c r="O55" i="1"/>
  <c r="O64" i="1"/>
  <c r="O70" i="1"/>
  <c r="O74" i="1"/>
  <c r="O80" i="1"/>
  <c r="O28" i="1"/>
  <c r="O31" i="1"/>
  <c r="O36" i="1"/>
  <c r="O61" i="1"/>
  <c r="O75" i="1"/>
  <c r="O76" i="1"/>
  <c r="O2" i="1"/>
  <c r="O478" i="1"/>
  <c r="O3" i="1"/>
  <c r="O4" i="1"/>
  <c r="O5" i="1"/>
  <c r="O6" i="1"/>
  <c r="O7" i="1"/>
  <c r="O8" i="1"/>
  <c r="O9" i="1"/>
  <c r="N93" i="1"/>
  <c r="N108" i="1"/>
  <c r="N109" i="1"/>
  <c r="N110" i="1"/>
  <c r="N111" i="1"/>
  <c r="N112" i="1"/>
  <c r="N113" i="1"/>
  <c r="N114" i="1"/>
  <c r="N115" i="1"/>
  <c r="N17" i="1"/>
  <c r="N116" i="1"/>
  <c r="N117" i="1"/>
  <c r="N118" i="1"/>
  <c r="N119" i="1"/>
  <c r="N120" i="1"/>
  <c r="N121" i="1"/>
  <c r="N19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60" i="1"/>
  <c r="N161" i="1"/>
  <c r="N313" i="1"/>
  <c r="N314" i="1"/>
  <c r="N315" i="1"/>
  <c r="N316" i="1"/>
  <c r="N317" i="1"/>
  <c r="N199" i="1"/>
  <c r="N200" i="1"/>
  <c r="N201" i="1"/>
  <c r="N202" i="1"/>
  <c r="N203" i="1"/>
  <c r="N204" i="1"/>
  <c r="N205" i="1"/>
  <c r="N206" i="1"/>
  <c r="N207" i="1"/>
  <c r="N219" i="1"/>
  <c r="N220" i="1"/>
  <c r="N221" i="1"/>
  <c r="N222" i="1"/>
  <c r="N223" i="1"/>
  <c r="N224" i="1"/>
  <c r="N225" i="1"/>
  <c r="N226" i="1"/>
  <c r="N227" i="1"/>
  <c r="N304" i="1"/>
  <c r="N305" i="1"/>
  <c r="N306" i="1"/>
  <c r="N307" i="1"/>
  <c r="N308" i="1"/>
  <c r="N309" i="1"/>
  <c r="N318" i="1"/>
  <c r="N319" i="1"/>
  <c r="N320" i="1"/>
  <c r="N321" i="1"/>
  <c r="N356" i="1"/>
  <c r="N357" i="1"/>
  <c r="N358" i="1"/>
  <c r="N359" i="1"/>
  <c r="N376" i="1"/>
  <c r="N377" i="1"/>
  <c r="N378" i="1"/>
  <c r="N379" i="1"/>
  <c r="N380" i="1"/>
  <c r="N411" i="1"/>
  <c r="N412" i="1"/>
  <c r="N413" i="1"/>
  <c r="N414" i="1"/>
  <c r="N415" i="1"/>
  <c r="N416" i="1"/>
  <c r="N417" i="1"/>
  <c r="N418" i="1"/>
  <c r="N419" i="1"/>
  <c r="N420" i="1"/>
  <c r="N421" i="1"/>
  <c r="N285" i="1"/>
  <c r="N286" i="1"/>
  <c r="N287" i="1"/>
  <c r="N288" i="1"/>
  <c r="N289" i="1"/>
  <c r="N290" i="1"/>
  <c r="N291" i="1"/>
  <c r="N292" i="1"/>
  <c r="N293" i="1"/>
  <c r="N325" i="1"/>
  <c r="N326" i="1"/>
  <c r="N327" i="1"/>
  <c r="N328" i="1"/>
  <c r="N329" i="1"/>
  <c r="N330" i="1"/>
  <c r="N331" i="1"/>
  <c r="N371" i="1"/>
  <c r="N372" i="1"/>
  <c r="N373" i="1"/>
  <c r="N374" i="1"/>
  <c r="N387" i="1"/>
  <c r="N66" i="1"/>
  <c r="N388" i="1"/>
  <c r="N389" i="1"/>
  <c r="N390" i="1"/>
  <c r="N391" i="1"/>
  <c r="N456" i="1"/>
  <c r="N457" i="1"/>
  <c r="N458" i="1"/>
  <c r="N459" i="1"/>
  <c r="N460" i="1"/>
  <c r="N461" i="1"/>
  <c r="N462" i="1"/>
  <c r="N463" i="1"/>
  <c r="N464" i="1"/>
  <c r="N470" i="1"/>
  <c r="N471" i="1"/>
  <c r="N472" i="1"/>
  <c r="N473" i="1"/>
  <c r="N474" i="1"/>
  <c r="N475" i="1"/>
  <c r="N476" i="1"/>
  <c r="N477" i="1"/>
  <c r="N136" i="1"/>
  <c r="N137" i="1"/>
  <c r="N138" i="1"/>
  <c r="N139" i="1"/>
  <c r="N23" i="1"/>
  <c r="N140" i="1"/>
  <c r="N141" i="1"/>
  <c r="N142" i="1"/>
  <c r="N143" i="1"/>
  <c r="N174" i="1"/>
  <c r="N175" i="1"/>
  <c r="N176" i="1"/>
  <c r="N177" i="1"/>
  <c r="N178" i="1"/>
  <c r="N179" i="1"/>
  <c r="N180" i="1"/>
  <c r="N181" i="1"/>
  <c r="N208" i="1"/>
  <c r="N209" i="1"/>
  <c r="N210" i="1"/>
  <c r="N211" i="1"/>
  <c r="N212" i="1"/>
  <c r="N213" i="1"/>
  <c r="N233" i="1"/>
  <c r="N234" i="1"/>
  <c r="N235" i="1"/>
  <c r="N236" i="1"/>
  <c r="N237" i="1"/>
  <c r="N238" i="1"/>
  <c r="N239" i="1"/>
  <c r="N392" i="1"/>
  <c r="N68" i="1"/>
  <c r="N69" i="1"/>
  <c r="N393" i="1"/>
  <c r="N394" i="1"/>
  <c r="N395" i="1"/>
  <c r="N396" i="1"/>
  <c r="N397" i="1"/>
  <c r="N400" i="1"/>
  <c r="N401" i="1"/>
  <c r="N402" i="1"/>
  <c r="N403" i="1"/>
  <c r="N447" i="1"/>
  <c r="N448" i="1"/>
  <c r="N449" i="1"/>
  <c r="N450" i="1"/>
  <c r="N451" i="1"/>
  <c r="N82" i="1"/>
  <c r="N83" i="1"/>
  <c r="N84" i="1"/>
  <c r="N85" i="1"/>
  <c r="N86" i="1"/>
  <c r="N87" i="1"/>
  <c r="N88" i="1"/>
  <c r="N89" i="1"/>
  <c r="N90" i="1"/>
  <c r="N91" i="1"/>
  <c r="N92" i="1"/>
  <c r="N94" i="1"/>
  <c r="N95" i="1"/>
  <c r="N96" i="1"/>
  <c r="N97" i="1"/>
  <c r="N98" i="1"/>
  <c r="N99" i="1"/>
  <c r="N100" i="1"/>
  <c r="N101" i="1"/>
  <c r="N102" i="1"/>
  <c r="N103" i="1"/>
  <c r="N14" i="1"/>
  <c r="N104" i="1"/>
  <c r="N105" i="1"/>
  <c r="N106" i="1"/>
  <c r="N107" i="1"/>
  <c r="N144" i="1"/>
  <c r="N145" i="1"/>
  <c r="N146" i="1"/>
  <c r="N147" i="1"/>
  <c r="N148" i="1"/>
  <c r="N149" i="1"/>
  <c r="N154" i="1"/>
  <c r="N155" i="1"/>
  <c r="N156" i="1"/>
  <c r="N157" i="1"/>
  <c r="N158" i="1"/>
  <c r="N159" i="1"/>
  <c r="N169" i="1"/>
  <c r="N170" i="1"/>
  <c r="N171" i="1"/>
  <c r="N172" i="1"/>
  <c r="N173" i="1"/>
  <c r="N228" i="1"/>
  <c r="N229" i="1"/>
  <c r="N230" i="1"/>
  <c r="N231" i="1"/>
  <c r="N232" i="1"/>
  <c r="N294" i="1"/>
  <c r="N295" i="1"/>
  <c r="N296" i="1"/>
  <c r="N297" i="1"/>
  <c r="N298" i="1"/>
  <c r="N299" i="1"/>
  <c r="N300" i="1"/>
  <c r="N301" i="1"/>
  <c r="N302" i="1"/>
  <c r="N303" i="1"/>
  <c r="N322" i="1"/>
  <c r="N323" i="1"/>
  <c r="N324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59" i="1"/>
  <c r="N351" i="1"/>
  <c r="N352" i="1"/>
  <c r="N353" i="1"/>
  <c r="N354" i="1"/>
  <c r="N355" i="1"/>
  <c r="N366" i="1"/>
  <c r="N367" i="1"/>
  <c r="N368" i="1"/>
  <c r="N369" i="1"/>
  <c r="N370" i="1"/>
  <c r="N452" i="1"/>
  <c r="N453" i="1"/>
  <c r="N454" i="1"/>
  <c r="N455" i="1"/>
  <c r="N150" i="1"/>
  <c r="N151" i="1"/>
  <c r="N152" i="1"/>
  <c r="N153" i="1"/>
  <c r="N246" i="1"/>
  <c r="N247" i="1"/>
  <c r="N248" i="1"/>
  <c r="N249" i="1"/>
  <c r="N250" i="1"/>
  <c r="N251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404" i="1"/>
  <c r="N405" i="1"/>
  <c r="N406" i="1"/>
  <c r="N407" i="1"/>
  <c r="N408" i="1"/>
  <c r="N409" i="1"/>
  <c r="N410" i="1"/>
  <c r="N194" i="1"/>
  <c r="N195" i="1"/>
  <c r="N196" i="1"/>
  <c r="N197" i="1"/>
  <c r="N198" i="1"/>
  <c r="N240" i="1"/>
  <c r="N241" i="1"/>
  <c r="N242" i="1"/>
  <c r="N243" i="1"/>
  <c r="N244" i="1"/>
  <c r="N245" i="1"/>
  <c r="N252" i="1"/>
  <c r="N253" i="1"/>
  <c r="N254" i="1"/>
  <c r="N43" i="1"/>
  <c r="N255" i="1"/>
  <c r="N256" i="1"/>
  <c r="N257" i="1"/>
  <c r="N258" i="1"/>
  <c r="N310" i="1"/>
  <c r="N311" i="1"/>
  <c r="N312" i="1"/>
  <c r="N332" i="1"/>
  <c r="N333" i="1"/>
  <c r="N334" i="1"/>
  <c r="N335" i="1"/>
  <c r="N381" i="1"/>
  <c r="N382" i="1"/>
  <c r="N383" i="1"/>
  <c r="N384" i="1"/>
  <c r="N385" i="1"/>
  <c r="N386" i="1"/>
  <c r="N398" i="1"/>
  <c r="N399" i="1"/>
  <c r="N422" i="1"/>
  <c r="N423" i="1"/>
  <c r="N424" i="1"/>
  <c r="N425" i="1"/>
  <c r="N426" i="1"/>
  <c r="N465" i="1"/>
  <c r="N466" i="1"/>
  <c r="N467" i="1"/>
  <c r="N468" i="1"/>
  <c r="N469" i="1"/>
  <c r="N162" i="1"/>
  <c r="N163" i="1"/>
  <c r="N164" i="1"/>
  <c r="N165" i="1"/>
  <c r="N166" i="1"/>
  <c r="N167" i="1"/>
  <c r="N168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214" i="1"/>
  <c r="N215" i="1"/>
  <c r="N216" i="1"/>
  <c r="N217" i="1"/>
  <c r="N218" i="1"/>
  <c r="N360" i="1"/>
  <c r="N361" i="1"/>
  <c r="N362" i="1"/>
  <c r="N363" i="1"/>
  <c r="N364" i="1"/>
  <c r="N365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12" i="1"/>
  <c r="N15" i="1"/>
  <c r="N16" i="1"/>
  <c r="N18" i="1"/>
  <c r="N20" i="1"/>
  <c r="N21" i="1"/>
  <c r="N27" i="1"/>
  <c r="N51" i="1"/>
  <c r="N33" i="1"/>
  <c r="N34" i="1"/>
  <c r="N37" i="1"/>
  <c r="N49" i="1"/>
  <c r="N52" i="1"/>
  <c r="N60" i="1"/>
  <c r="N375" i="1"/>
  <c r="N73" i="1"/>
  <c r="N47" i="1"/>
  <c r="N54" i="1"/>
  <c r="N63" i="1"/>
  <c r="N65" i="1"/>
  <c r="N79" i="1"/>
  <c r="N81" i="1"/>
  <c r="N22" i="1"/>
  <c r="N30" i="1"/>
  <c r="N35" i="1"/>
  <c r="N39" i="1"/>
  <c r="N67" i="1"/>
  <c r="N71" i="1"/>
  <c r="N77" i="1"/>
  <c r="N10" i="1"/>
  <c r="N11" i="1"/>
  <c r="N13" i="1"/>
  <c r="N24" i="1"/>
  <c r="N26" i="1"/>
  <c r="N29" i="1"/>
  <c r="N38" i="1"/>
  <c r="N48" i="1"/>
  <c r="N53" i="1"/>
  <c r="N56" i="1"/>
  <c r="N57" i="1"/>
  <c r="N58" i="1"/>
  <c r="N62" i="1"/>
  <c r="N78" i="1"/>
  <c r="N25" i="1"/>
  <c r="N41" i="1"/>
  <c r="N44" i="1"/>
  <c r="N45" i="1"/>
  <c r="N46" i="1"/>
  <c r="N72" i="1"/>
  <c r="N32" i="1"/>
  <c r="N40" i="1"/>
  <c r="N42" i="1"/>
  <c r="N50" i="1"/>
  <c r="N55" i="1"/>
  <c r="N64" i="1"/>
  <c r="N70" i="1"/>
  <c r="N74" i="1"/>
  <c r="N80" i="1"/>
  <c r="N28" i="1"/>
  <c r="N31" i="1"/>
  <c r="N36" i="1"/>
  <c r="N61" i="1"/>
  <c r="N75" i="1"/>
  <c r="N76" i="1"/>
  <c r="N2" i="1"/>
  <c r="N478" i="1"/>
  <c r="N3" i="1"/>
  <c r="N4" i="1"/>
  <c r="N5" i="1"/>
  <c r="N6" i="1"/>
  <c r="N7" i="1"/>
  <c r="N8" i="1"/>
  <c r="N9" i="1"/>
</calcChain>
</file>

<file path=xl/sharedStrings.xml><?xml version="1.0" encoding="utf-8"?>
<sst xmlns="http://schemas.openxmlformats.org/spreadsheetml/2006/main" count="2399" uniqueCount="966">
  <si>
    <t>shop_code</t>
  </si>
  <si>
    <t>external_key</t>
  </si>
  <si>
    <t>Level1</t>
  </si>
  <si>
    <t>Level2</t>
  </si>
  <si>
    <t>Level3</t>
  </si>
  <si>
    <t>Level4</t>
  </si>
  <si>
    <t>is_collection</t>
  </si>
  <si>
    <t>sort_order</t>
  </si>
  <si>
    <t>shopify_tingelo</t>
  </si>
  <si>
    <t>image_src</t>
  </si>
  <si>
    <t>template_suffix</t>
  </si>
  <si>
    <t>body_html</t>
  </si>
  <si>
    <t>seo_body_html</t>
  </si>
  <si>
    <t>InMenu</t>
  </si>
  <si>
    <t>Hälsa &amp; Skönhet</t>
  </si>
  <si>
    <t>Skönhetsprodukter</t>
  </si>
  <si>
    <t>Hudvård</t>
  </si>
  <si>
    <t>Fotvård</t>
  </si>
  <si>
    <t>Hårvård</t>
  </si>
  <si>
    <t>Nagelvård</t>
  </si>
  <si>
    <t>Köksredskap</t>
  </si>
  <si>
    <t>Silar &amp; durkslag</t>
  </si>
  <si>
    <t>Köksutrustning</t>
  </si>
  <si>
    <t>Köksvågar</t>
  </si>
  <si>
    <t>Matlagningstermometrar</t>
  </si>
  <si>
    <t>Vakuumförpackare &amp; tillbehör</t>
  </si>
  <si>
    <t>Tårtdekorationsutrustning</t>
  </si>
  <si>
    <t>Pizzatillbehör</t>
  </si>
  <si>
    <t>Isformar</t>
  </si>
  <si>
    <t>Köksorganiserare</t>
  </si>
  <si>
    <t>Diskställ &amp; torkställ</t>
  </si>
  <si>
    <t>Vispar &amp; mjölkskummare</t>
  </si>
  <si>
    <t>Övriga tillbehör</t>
  </si>
  <si>
    <t>Dukning &amp; servering</t>
  </si>
  <si>
    <t>Bestick</t>
  </si>
  <si>
    <t>Glas, koppar &amp; muggar</t>
  </si>
  <si>
    <t>Kylfläktar</t>
  </si>
  <si>
    <t>Värmefläktar</t>
  </si>
  <si>
    <t>Luftavfuktare</t>
  </si>
  <si>
    <t>Städprodukter</t>
  </si>
  <si>
    <t>Handdammsugare</t>
  </si>
  <si>
    <t>Övriga städprodukter</t>
  </si>
  <si>
    <t>Munhygien</t>
  </si>
  <si>
    <t>Whiteningprodukter</t>
  </si>
  <si>
    <t>Tandvård</t>
  </si>
  <si>
    <t>Ljusterapi</t>
  </si>
  <si>
    <t>Rödljusterapi</t>
  </si>
  <si>
    <t>Håraccessoarer</t>
  </si>
  <si>
    <t>Hygien &amp; hälsa</t>
  </si>
  <si>
    <t>Blodtrycksmätare</t>
  </si>
  <si>
    <t>Doseringsaskar</t>
  </si>
  <si>
    <t>Febertermometrar</t>
  </si>
  <si>
    <t>Munskydd &amp; visir</t>
  </si>
  <si>
    <t>Sömnhjälpmedel</t>
  </si>
  <si>
    <t>Personlig hygien</t>
  </si>
  <si>
    <t>Smärtlindring</t>
  </si>
  <si>
    <t>Övriga hälsoprodukter</t>
  </si>
  <si>
    <t>Rakning &amp; ansning</t>
  </si>
  <si>
    <t>Rakapparater &amp; skäggtrimmers</t>
  </si>
  <si>
    <t>Rakhuvud &amp; skärblad</t>
  </si>
  <si>
    <t>Tillbehör &amp; reservdelar</t>
  </si>
  <si>
    <t>Hårborttagning</t>
  </si>
  <si>
    <t>Stöd &amp; rehabilitering</t>
  </si>
  <si>
    <t>Armbågsstöd</t>
  </si>
  <si>
    <t>Axelstöd</t>
  </si>
  <si>
    <t>Fotledsstöd</t>
  </si>
  <si>
    <t>Knäskydd</t>
  </si>
  <si>
    <t>Handledsstöd</t>
  </si>
  <si>
    <t>Gravidbälten &amp; stödbälten</t>
  </si>
  <si>
    <t>Ryggstöd &amp; hållningsstöd</t>
  </si>
  <si>
    <t>Stödstrumpor</t>
  </si>
  <si>
    <t>Tåspridare</t>
  </si>
  <si>
    <t>Rehabiliteringshjälpmedel</t>
  </si>
  <si>
    <t>Övriga skydd &amp; stöd</t>
  </si>
  <si>
    <t>Hjälpmedel</t>
  </si>
  <si>
    <t>Ergonomiska kuddar</t>
  </si>
  <si>
    <t>Gånghjälpmedel</t>
  </si>
  <si>
    <t>Grepphjälpmedel</t>
  </si>
  <si>
    <t>Toalett- &amp; badrumshjälpmedel</t>
  </si>
  <si>
    <t>Påklädningshjälpmedel</t>
  </si>
  <si>
    <t>Fordon</t>
  </si>
  <si>
    <t>Felkodsläsare</t>
  </si>
  <si>
    <t>Laddkablar för elbil</t>
  </si>
  <si>
    <t>Mät- &amp; testinstrument</t>
  </si>
  <si>
    <t>Bilbelysning</t>
  </si>
  <si>
    <t>Interiörbelysning</t>
  </si>
  <si>
    <t>Halogen-lampor</t>
  </si>
  <si>
    <t>Xenon-lampor</t>
  </si>
  <si>
    <t>Biltillbehör</t>
  </si>
  <si>
    <t>Vinterutrustning till bil</t>
  </si>
  <si>
    <t>Billaddare</t>
  </si>
  <si>
    <t>Bilinredning</t>
  </si>
  <si>
    <t>Cykeltillbehör</t>
  </si>
  <si>
    <t>Cykellås</t>
  </si>
  <si>
    <t>Cykelpumpar</t>
  </si>
  <si>
    <t>Cykelbelysning</t>
  </si>
  <si>
    <t>Övrigt cykeltillbehör</t>
  </si>
  <si>
    <t>Elscootertillbehör</t>
  </si>
  <si>
    <t>Reservdelar till elscooter</t>
  </si>
  <si>
    <t>Tillbehör till elscooter</t>
  </si>
  <si>
    <t>Motorcykeltillbehör</t>
  </si>
  <si>
    <t>Personlig utrustning</t>
  </si>
  <si>
    <t>Båttillbehör</t>
  </si>
  <si>
    <t>Båtutrustning</t>
  </si>
  <si>
    <t>Belysning</t>
  </si>
  <si>
    <t>Arbetsbelysning</t>
  </si>
  <si>
    <t>Batteridrivna lampor</t>
  </si>
  <si>
    <t>Läslampor</t>
  </si>
  <si>
    <t>Spotlights</t>
  </si>
  <si>
    <t>Ljusslingor inomhus</t>
  </si>
  <si>
    <t>Ljusslingor utomhus</t>
  </si>
  <si>
    <t>Mysbelysning</t>
  </si>
  <si>
    <t>Smart belysning</t>
  </si>
  <si>
    <t>Solcellsbelysning</t>
  </si>
  <si>
    <t>Utomhusbelysning</t>
  </si>
  <si>
    <t>Julbelysning</t>
  </si>
  <si>
    <t>Övrig belysning</t>
  </si>
  <si>
    <t>Kuddfodral</t>
  </si>
  <si>
    <t>Sängkläder</t>
  </si>
  <si>
    <t>Dekoration</t>
  </si>
  <si>
    <t>Dekorativa figurer &amp; prydnader</t>
  </si>
  <si>
    <t>Klockor (vägg &amp; bord)</t>
  </si>
  <si>
    <t>Säsongsdekoration</t>
  </si>
  <si>
    <t>Förvaringslådor &amp; korgar</t>
  </si>
  <si>
    <t>Hyllor &amp; småförvaring</t>
  </si>
  <si>
    <t>Krokar &amp; upphängning</t>
  </si>
  <si>
    <t>Reseförvaring &amp; necessärer</t>
  </si>
  <si>
    <t>Övrig förvaring</t>
  </si>
  <si>
    <t>Badrum</t>
  </si>
  <si>
    <t>Badrumsinredning</t>
  </si>
  <si>
    <t>Handdukar</t>
  </si>
  <si>
    <t>Badrumsvågar</t>
  </si>
  <si>
    <t>Dusch &amp; badtillbehör</t>
  </si>
  <si>
    <t>Övrigt badrum</t>
  </si>
  <si>
    <t>Fjärrstyrda strömbrytare</t>
  </si>
  <si>
    <t>Smart plugs &amp; timers</t>
  </si>
  <si>
    <t>Grenproppar</t>
  </si>
  <si>
    <t>Strömadaptrar</t>
  </si>
  <si>
    <t>Kablar &amp; laddning</t>
  </si>
  <si>
    <t>Övriga elprodukter</t>
  </si>
  <si>
    <t>Barnrum</t>
  </si>
  <si>
    <t>Förvaring</t>
  </si>
  <si>
    <t>Lekmattor</t>
  </si>
  <si>
    <t>Nattlampor</t>
  </si>
  <si>
    <t>Övrig inredning</t>
  </si>
  <si>
    <t>Heminredning</t>
  </si>
  <si>
    <t>Hem &amp; Trädgård</t>
  </si>
  <si>
    <t>Verktyg</t>
  </si>
  <si>
    <t>Reparationsverktyg</t>
  </si>
  <si>
    <t>Elverktyg</t>
  </si>
  <si>
    <t>Övriga verktyg</t>
  </si>
  <si>
    <t>Dörrklockor</t>
  </si>
  <si>
    <t>Rörelsesensorer</t>
  </si>
  <si>
    <t>Barnsäkerhet</t>
  </si>
  <si>
    <t>Kameraövervakning</t>
  </si>
  <si>
    <t>Larm för hem &amp; fordon</t>
  </si>
  <si>
    <t>Lås, nyckelskåp &amp; keyfinders</t>
  </si>
  <si>
    <t>Överfallslarm &amp; självförsvar</t>
  </si>
  <si>
    <t>Smarta hem</t>
  </si>
  <si>
    <t>Smart plugs &amp; brytare</t>
  </si>
  <si>
    <t>Smarta sensorer</t>
  </si>
  <si>
    <t>Smarta dörrklockor</t>
  </si>
  <si>
    <t>Energimätare</t>
  </si>
  <si>
    <t>Smarta hem-system</t>
  </si>
  <si>
    <t>Hängmattor</t>
  </si>
  <si>
    <t>Trädgårdsbelysning</t>
  </si>
  <si>
    <t>Trädgårdsinredning</t>
  </si>
  <si>
    <t>Fontäner &amp; dammar</t>
  </si>
  <si>
    <t>Trädgårdsprydnader</t>
  </si>
  <si>
    <t>Fågelmatare</t>
  </si>
  <si>
    <t>Överdrag till utemöbler</t>
  </si>
  <si>
    <t>Trädgårdsredskap</t>
  </si>
  <si>
    <t>Bevattning</t>
  </si>
  <si>
    <t>Ogräsbekämpning</t>
  </si>
  <si>
    <t>Mät- &amp; testverktyg</t>
  </si>
  <si>
    <t>Reservdelar trädgårdsmaskiner</t>
  </si>
  <si>
    <t>Övriga trädgårdsprylar</t>
  </si>
  <si>
    <t>Skyddsnät, täckning &amp; barriärer</t>
  </si>
  <si>
    <t>Förebyggande skydd</t>
  </si>
  <si>
    <t>Handredskap för matlagning</t>
  </si>
  <si>
    <t>Knivar, saxar &amp; slipning</t>
  </si>
  <si>
    <t>Skala, riva &amp; skära</t>
  </si>
  <si>
    <t>Övriga köksredskap</t>
  </si>
  <si>
    <t>Äggklockor &amp; kökstimers</t>
  </si>
  <si>
    <t>Köksmaskiner &amp; apparater</t>
  </si>
  <si>
    <t>Tillbehör till köksmaskiner</t>
  </si>
  <si>
    <t>Lunchlådor &amp; matbehållare</t>
  </si>
  <si>
    <t>Övrig köksutrustning</t>
  </si>
  <si>
    <t>Baktillbehör &amp; formar</t>
  </si>
  <si>
    <t>Förkläden &amp; kökstextilier</t>
  </si>
  <si>
    <t>Grytlappar &amp; grillvantar</t>
  </si>
  <si>
    <t>Kryddor, olja &amp; malning</t>
  </si>
  <si>
    <t>Kaffe-, vin- &amp; drinktillbehör</t>
  </si>
  <si>
    <t>Övriga kökstillbehör</t>
  </si>
  <si>
    <t>Skålar, fat &amp; servering</t>
  </si>
  <si>
    <t>Barn – mat &amp; servering</t>
  </si>
  <si>
    <t>Termometrar &amp; väderstationer</t>
  </si>
  <si>
    <t>Luftfuktare &amp; doftspridare</t>
  </si>
  <si>
    <t>Luftrenare &amp; ozongeneratorer</t>
  </si>
  <si>
    <t>Städredskap &amp; tillbehör</t>
  </si>
  <si>
    <t>Rengöring för kök &amp; grill</t>
  </si>
  <si>
    <t>Tvätt &amp; klädvård</t>
  </si>
  <si>
    <t>Dammsugare &amp; tillbehör</t>
  </si>
  <si>
    <t>Svampar, trasor &amp; borstar</t>
  </si>
  <si>
    <t>Sport &amp; Fritid</t>
  </si>
  <si>
    <t>Camping &amp; friluftsutrustning</t>
  </si>
  <si>
    <t>Matlagning utomhus</t>
  </si>
  <si>
    <t>Verktyg &amp; multiverktyg</t>
  </si>
  <si>
    <t>Kommunikation</t>
  </si>
  <si>
    <t>Kikare &amp; optik</t>
  </si>
  <si>
    <t>Jakt &amp; fiske</t>
  </si>
  <si>
    <t>Luftmadrasser &amp; liggunderlag</t>
  </si>
  <si>
    <t>Termosar &amp; vattenflaskor</t>
  </si>
  <si>
    <t>Beredskapsprodukter</t>
  </si>
  <si>
    <t>Resetillbehör</t>
  </si>
  <si>
    <t>Resenecessärer</t>
  </si>
  <si>
    <t>Reseadaptrar</t>
  </si>
  <si>
    <t>Träningskläder</t>
  </si>
  <si>
    <t>Träningsstrumpor &amp; sulor</t>
  </si>
  <si>
    <t>Träningshandskar &amp; skydd</t>
  </si>
  <si>
    <t>Sportaccessoarer</t>
  </si>
  <si>
    <t>Lagkläder &amp; sportset</t>
  </si>
  <si>
    <t>Träningsutrustning</t>
  </si>
  <si>
    <t>Gymutrustning</t>
  </si>
  <si>
    <t>Kondition &amp; motion</t>
  </si>
  <si>
    <t>Yoga &amp; rörlighet</t>
  </si>
  <si>
    <t>Träningsband &amp; styrka</t>
  </si>
  <si>
    <t>Balans &amp; koordination</t>
  </si>
  <si>
    <t>Handstyrka &amp; rehab</t>
  </si>
  <si>
    <t>Träningsväskor</t>
  </si>
  <si>
    <t>Sport- &amp; simglasögon</t>
  </si>
  <si>
    <t>Golf</t>
  </si>
  <si>
    <t>Övrig träningsutrustning</t>
  </si>
  <si>
    <t>Stoppur</t>
  </si>
  <si>
    <t>Vattenflaskor &amp; shakers</t>
  </si>
  <si>
    <t>Skydd vid träning</t>
  </si>
  <si>
    <t>Fest</t>
  </si>
  <si>
    <t>Festartiklar</t>
  </si>
  <si>
    <t>Halloween</t>
  </si>
  <si>
    <t>Jultillbehör</t>
  </si>
  <si>
    <t>Barnkalas</t>
  </si>
  <si>
    <t>Husdjur</t>
  </si>
  <si>
    <t>Hund</t>
  </si>
  <si>
    <t>Katt</t>
  </si>
  <si>
    <t>Häst</t>
  </si>
  <si>
    <t>Smådjur</t>
  </si>
  <si>
    <t>Hobby &amp; Lek</t>
  </si>
  <si>
    <t>Gosedjur &amp; dockor</t>
  </si>
  <si>
    <t>Bilbanor &amp; fordonsleksaker</t>
  </si>
  <si>
    <t>Figurer, miniatyrer &amp; tillbehör</t>
  </si>
  <si>
    <t>Barnpussel &amp; spel</t>
  </si>
  <si>
    <t>Aktivitetsleksaker</t>
  </si>
  <si>
    <t>Experimentleksaker &amp; lärande</t>
  </si>
  <si>
    <t>Fidget toys</t>
  </si>
  <si>
    <t>Maskerad &amp; rolleksaker</t>
  </si>
  <si>
    <t>Adventskalendrar</t>
  </si>
  <si>
    <t>Övriga leksaker</t>
  </si>
  <si>
    <t>Rita, måla &amp; skriva</t>
  </si>
  <si>
    <t>Målarböcker</t>
  </si>
  <si>
    <t>Diamanttavlor</t>
  </si>
  <si>
    <t>Pussel</t>
  </si>
  <si>
    <t>Skämtartiklar</t>
  </si>
  <si>
    <t>Smarta saker &amp; gadgets</t>
  </si>
  <si>
    <t>Spionprylar</t>
  </si>
  <si>
    <t>Samlarobjekt</t>
  </si>
  <si>
    <t>Tarotkort &amp; alternativa spel</t>
  </si>
  <si>
    <t>Uteleksaker</t>
  </si>
  <si>
    <t>Trädgårdsleksaker</t>
  </si>
  <si>
    <t>Vinterleksaker</t>
  </si>
  <si>
    <t>Musikinstrument</t>
  </si>
  <si>
    <t>Musiktillbehör</t>
  </si>
  <si>
    <t>Ljud &amp; sångleksaker</t>
  </si>
  <si>
    <t>Radiostyrt</t>
  </si>
  <si>
    <t>Drönare</t>
  </si>
  <si>
    <t>Radiostyrda bilar</t>
  </si>
  <si>
    <t>Radiostyrda båtar</t>
  </si>
  <si>
    <t>Radiostyrd helikopter</t>
  </si>
  <si>
    <t>Laddare</t>
  </si>
  <si>
    <t>Reservdelar</t>
  </si>
  <si>
    <t>Skydd &amp; väskor</t>
  </si>
  <si>
    <t>Fästen &amp; hållare</t>
  </si>
  <si>
    <t>Presentidéer</t>
  </si>
  <si>
    <t>Mors dag</t>
  </si>
  <si>
    <t>Fars dag</t>
  </si>
  <si>
    <t>Studentpresenter</t>
  </si>
  <si>
    <t>Flytta hemifrån</t>
  </si>
  <si>
    <t>Presenter för barn</t>
  </si>
  <si>
    <t>Presenter för vuxna</t>
  </si>
  <si>
    <t>Mode &amp; Accessoarer</t>
  </si>
  <si>
    <t>Ryggsäckar</t>
  </si>
  <si>
    <t>Laptopväskor</t>
  </si>
  <si>
    <t>Midjeväskor</t>
  </si>
  <si>
    <t>Handväskor &amp; småväskor</t>
  </si>
  <si>
    <t>Rese­förvaring &amp; tillbehör</t>
  </si>
  <si>
    <t>Vanliga strumpor</t>
  </si>
  <si>
    <t>Stöd- &amp; flygstrumpor</t>
  </si>
  <si>
    <t>Tåstrumpor</t>
  </si>
  <si>
    <t>Underkläder</t>
  </si>
  <si>
    <t>Glasögon</t>
  </si>
  <si>
    <t>Solglasögon</t>
  </si>
  <si>
    <t>Clip-on solglasögon</t>
  </si>
  <si>
    <t>Blåfilter-glasögon</t>
  </si>
  <si>
    <t>Reservdelar &amp; tillbehör</t>
  </si>
  <si>
    <t>Läsglasögon</t>
  </si>
  <si>
    <t>Smyckesförvaring</t>
  </si>
  <si>
    <t>Smycken</t>
  </si>
  <si>
    <t>Skor</t>
  </si>
  <si>
    <t>Tofflor &amp; inneskor</t>
  </si>
  <si>
    <t>Bad- &amp; strandskor</t>
  </si>
  <si>
    <t>Skoinlägg &amp; sulor</t>
  </si>
  <si>
    <t>Halkskydd &amp; överdrag</t>
  </si>
  <si>
    <t>Övriga skotillbehör</t>
  </si>
  <si>
    <t>Plånböcker</t>
  </si>
  <si>
    <t>Korthållare</t>
  </si>
  <si>
    <t>Plånböcker med mobilfack</t>
  </si>
  <si>
    <t>Vantar &amp; handskar</t>
  </si>
  <si>
    <t>Halsdukar</t>
  </si>
  <si>
    <t>Byxor</t>
  </si>
  <si>
    <t>Myskläder</t>
  </si>
  <si>
    <t>T-shirts &amp; överdelar</t>
  </si>
  <si>
    <t>Tubscarfs &amp; halsdukar</t>
  </si>
  <si>
    <t>Tatuering sleeves</t>
  </si>
  <si>
    <t>Övriga kläder</t>
  </si>
  <si>
    <t>Herrklockor</t>
  </si>
  <si>
    <t>Damklockor</t>
  </si>
  <si>
    <t>Smartklockor</t>
  </si>
  <si>
    <t>Smartklockor för barn</t>
  </si>
  <si>
    <t>Klockarmband</t>
  </si>
  <si>
    <t>Laddare &amp; kablar</t>
  </si>
  <si>
    <t>Skärmskydd</t>
  </si>
  <si>
    <t>Tillbehör &amp; verktyg</t>
  </si>
  <si>
    <t>Hemelektronik</t>
  </si>
  <si>
    <t>Hörlurar</t>
  </si>
  <si>
    <t>Gamingheadset</t>
  </si>
  <si>
    <t>Sporthörlurar</t>
  </si>
  <si>
    <t>Öronkuddar &amp; reservdelar</t>
  </si>
  <si>
    <t>Bluetooth-högtalare</t>
  </si>
  <si>
    <t>Hörlursfodral &amp; tillbehör</t>
  </si>
  <si>
    <t>Bluetooth-adaptrar</t>
  </si>
  <si>
    <t>Möss &amp; tangentbord</t>
  </si>
  <si>
    <t>Mikrofoner &amp; webbkameror</t>
  </si>
  <si>
    <t>Laptoptillbehör</t>
  </si>
  <si>
    <t>Trådlöst nätverk &amp; extenders</t>
  </si>
  <si>
    <t>Routrar &amp; switchar</t>
  </si>
  <si>
    <t>Ljudkablar</t>
  </si>
  <si>
    <t>Bildskärmskablar</t>
  </si>
  <si>
    <t>Nätverkskablar</t>
  </si>
  <si>
    <t>Adaptrar &amp; switchar</t>
  </si>
  <si>
    <t>Signalomvandlare</t>
  </si>
  <si>
    <t>Övriga kablar &amp; tillbehör</t>
  </si>
  <si>
    <t>Kameratillbehör</t>
  </si>
  <si>
    <t>Minneskort</t>
  </si>
  <si>
    <t>Laddare &amp; batterier</t>
  </si>
  <si>
    <t>Actionkameror &amp; tillbehör</t>
  </si>
  <si>
    <t>Åtel- &amp; vildkameror</t>
  </si>
  <si>
    <t>Spionkameror</t>
  </si>
  <si>
    <t>Studioutrustning</t>
  </si>
  <si>
    <t>Övriga foto- &amp; videotillbehör</t>
  </si>
  <si>
    <t>Retrospel &amp; tillbehör</t>
  </si>
  <si>
    <t>Övriga speltillbehör</t>
  </si>
  <si>
    <t>Projektorer &amp; dukar</t>
  </si>
  <si>
    <t>Fjärrkontroller</t>
  </si>
  <si>
    <t>Väggfästen &amp; stativ</t>
  </si>
  <si>
    <t>Streaming- &amp; mediagadgets</t>
  </si>
  <si>
    <t>Skydd &amp; fodral (mobil)</t>
  </si>
  <si>
    <t>Skydd &amp; fodral (surfplatta)</t>
  </si>
  <si>
    <t>Dockor, stativ &amp; hållare</t>
  </si>
  <si>
    <t>Styluspennor &amp; gadgets</t>
  </si>
  <si>
    <t>Sportarmband &amp; väskor</t>
  </si>
  <si>
    <t>Reservdelar &amp; batterier</t>
  </si>
  <si>
    <t>Övriga resetillbehör</t>
  </si>
  <si>
    <t>Makeup &amp; sminktillbehör</t>
  </si>
  <si>
    <t/>
  </si>
  <si>
    <t>Borsthuvuden &amp; tillbehör</t>
  </si>
  <si>
    <t>Tandborstar &amp; eltandborstar</t>
  </si>
  <si>
    <t>Tens &amp; muskelstimulering</t>
  </si>
  <si>
    <t>Massage &amp; massagepistoler</t>
  </si>
  <si>
    <t>Värmefiltar &amp; värmebehandling</t>
  </si>
  <si>
    <t>Akupressur &amp; massagemattor</t>
  </si>
  <si>
    <t>Locktänger &amp; plattång</t>
  </si>
  <si>
    <t>Värmeborstar &amp; hårfönar</t>
  </si>
  <si>
    <t>Hårborstar &amp; kammar</t>
  </si>
  <si>
    <t>Öron- &amp; ögonvård</t>
  </si>
  <si>
    <t>Bilkameror &amp; dashcams</t>
  </si>
  <si>
    <t>Bilstereo &amp; högtalare</t>
  </si>
  <si>
    <t>Fm-sändare &amp; mottagare</t>
  </si>
  <si>
    <t>Kablar &amp; tillbehör</t>
  </si>
  <si>
    <t>Starthjälp &amp; batteriladdare</t>
  </si>
  <si>
    <t>Led- &amp; diodlampor</t>
  </si>
  <si>
    <t>Led konverteringsset helljus / halvljus</t>
  </si>
  <si>
    <t>Extraljus &amp; varselljus</t>
  </si>
  <si>
    <t>Övrig bilbelysning</t>
  </si>
  <si>
    <t>Hållare &amp; förvaring</t>
  </si>
  <si>
    <t>Gps &amp; gps-tillbehör</t>
  </si>
  <si>
    <t>Säkerhet &amp; skydd</t>
  </si>
  <si>
    <t>Övriga biltillbehör</t>
  </si>
  <si>
    <t>Reparation &amp; underhåll</t>
  </si>
  <si>
    <t>Skydd &amp; förvaring</t>
  </si>
  <si>
    <t>Komfort &amp; tillbehör</t>
  </si>
  <si>
    <t>Skydd &amp; kapell</t>
  </si>
  <si>
    <t>Bluetooth motorcykel</t>
  </si>
  <si>
    <t>Mobilhållare &amp; fästen</t>
  </si>
  <si>
    <t>Övriga motorcykeltillbehör</t>
  </si>
  <si>
    <t>Led-lampor</t>
  </si>
  <si>
    <t>Utomhusspotlights &amp; strålkastare</t>
  </si>
  <si>
    <t>Led-strips</t>
  </si>
  <si>
    <t>Mattor &amp; dukar</t>
  </si>
  <si>
    <t>Plädar &amp; filtar</t>
  </si>
  <si>
    <t>Gardiner &amp; tillbehör</t>
  </si>
  <si>
    <t>Väggdekoration &amp; posters</t>
  </si>
  <si>
    <t>Vaser &amp; krukor</t>
  </si>
  <si>
    <t>Ljushållare &amp; ljuslyktor</t>
  </si>
  <si>
    <t>Förvaring &amp; necessärer</t>
  </si>
  <si>
    <t>Arbetshandskar &amp; skydd</t>
  </si>
  <si>
    <t>Mätverktyg &amp; inspektion</t>
  </si>
  <si>
    <t>Handverktyg &amp; tillbehör</t>
  </si>
  <si>
    <t>Monteringsverktyg &amp; fästdon</t>
  </si>
  <si>
    <t>Batterier till elverktyg</t>
  </si>
  <si>
    <t>Rfid-produkter</t>
  </si>
  <si>
    <t>Övriga säkerhetsprodukter</t>
  </si>
  <si>
    <t>Grill &amp; grilltillbehör</t>
  </si>
  <si>
    <t>Pool &amp; spa</t>
  </si>
  <si>
    <t>Fågelholkar &amp; insektshotell</t>
  </si>
  <si>
    <t>Skadedjur &amp; insekter</t>
  </si>
  <si>
    <t>Fågelskydd &amp; djurskrämmor</t>
  </si>
  <si>
    <t>Mått &amp; måttskedar</t>
  </si>
  <si>
    <t>Ficklampor &amp; pannlampor</t>
  </si>
  <si>
    <t>Energi &amp; solcell</t>
  </si>
  <si>
    <t>Kylväskor &amp; förvaring</t>
  </si>
  <si>
    <t>Verktyg &amp; bagagevågar</t>
  </si>
  <si>
    <t>Passfodral &amp; väskor</t>
  </si>
  <si>
    <t>Sovmasker &amp; nackstöd</t>
  </si>
  <si>
    <t>Träningsvästar &amp; löparbälten</t>
  </si>
  <si>
    <t>Led &amp; reflexer</t>
  </si>
  <si>
    <t>Masker &amp; utklädnad</t>
  </si>
  <si>
    <t>Presenter &amp; gåvor</t>
  </si>
  <si>
    <t>Partyspel &amp; sällskapsspel</t>
  </si>
  <si>
    <t>Akvarie- &amp; terrarium-tillbehör</t>
  </si>
  <si>
    <t>Pyssel &amp; diy-kit</t>
  </si>
  <si>
    <t>Badleksaker &amp; vattenleksaker</t>
  </si>
  <si>
    <t>Sport &amp; spel</t>
  </si>
  <si>
    <t>Alla hjärtans dag</t>
  </si>
  <si>
    <t>Yoga &amp; pilatesstrumpor</t>
  </si>
  <si>
    <t>Rfid-skydd &amp; säkra plånböcker</t>
  </si>
  <si>
    <t>Mössor &amp; kepsar</t>
  </si>
  <si>
    <t>Usb-hubbar &amp; dockor</t>
  </si>
  <si>
    <t>Usb-minnen</t>
  </si>
  <si>
    <t>Usb-kablar</t>
  </si>
  <si>
    <t>Nintendo switch-tillbehör</t>
  </si>
  <si>
    <t>Playstation-tillbehör</t>
  </si>
  <si>
    <t>Övriga tv-tillbehör</t>
  </si>
  <si>
    <t>Massage &amp; avslappning</t>
  </si>
  <si>
    <t>Hår &amp; styling</t>
  </si>
  <si>
    <t>Billjud &amp; video</t>
  </si>
  <si>
    <t>Bildiagnostik &amp; el</t>
  </si>
  <si>
    <t>Inredning &amp; textil</t>
  </si>
  <si>
    <t>Förvaring &amp; organisation</t>
  </si>
  <si>
    <t>El &amp; smart hem</t>
  </si>
  <si>
    <t>Larm &amp; säkerhet</t>
  </si>
  <si>
    <t>Uteplats &amp; trädgård</t>
  </si>
  <si>
    <t>Odling &amp; trädgård</t>
  </si>
  <si>
    <t>Skadedjur &amp; skydd</t>
  </si>
  <si>
    <t>Kökstillbehör &amp; bak</t>
  </si>
  <si>
    <t>Klimat &amp; inomhusmiljö</t>
  </si>
  <si>
    <t>Friluftsliv &amp; beredskap</t>
  </si>
  <si>
    <t>Leksaker &amp; spel</t>
  </si>
  <si>
    <t>Pyssel &amp; kreativitet</t>
  </si>
  <si>
    <t>Roliga prylar &amp; samlarobjekt</t>
  </si>
  <si>
    <t>Musik &amp; sång</t>
  </si>
  <si>
    <t>Väskor &amp; förvaring</t>
  </si>
  <si>
    <t>Strumpor &amp; underkläder</t>
  </si>
  <si>
    <t>Smycken &amp; förvaring</t>
  </si>
  <si>
    <t>Skor &amp; skotillbehör</t>
  </si>
  <si>
    <t>Plånböcker &amp; korthållare</t>
  </si>
  <si>
    <t>Mössor, vantar &amp; halsdukar</t>
  </si>
  <si>
    <t>Kläder &amp; accessoarer</t>
  </si>
  <si>
    <t>Klockor &amp; smartklockor</t>
  </si>
  <si>
    <t>Hörlurar &amp; högtalare</t>
  </si>
  <si>
    <t>Dator- &amp; arbetsplatstillbehör</t>
  </si>
  <si>
    <t>Kablar, adaptrar &amp; anslutning</t>
  </si>
  <si>
    <t>Foto, video &amp; övervakning</t>
  </si>
  <si>
    <t>Spel &amp; underhållningstillbehör</t>
  </si>
  <si>
    <t>Tv &amp; projektorer</t>
  </si>
  <si>
    <t>Smartphone &amp; surfplattor</t>
  </si>
  <si>
    <t>Hushåll &amp; Kök</t>
  </si>
  <si>
    <t>båt, båttillbehör, båtutrustning, marina produkter, båttillbehör tillbehör, sjöbruk, fritidsbåt, motorbåt, segelbåt, båtelektronik, båtsäkerhet, båtinstallation, marin utrustning</t>
  </si>
  <si>
    <t>bilbelysning, extraljus, varselljus, LED-extraljus, DRL, dagsljus, körljus, frontbelysning, ljusramp, fordonsbelysning, helljusförstärkning, bil</t>
  </si>
  <si>
    <t>bilbelysning, halogenlampa, halogenlampor, bilampa, H4, H7, H1, fordonslampa, halvljus, helljus, glödlampa bil, strålkastarlampa</t>
  </si>
  <si>
    <t>bilbelysning, interiörbelysning, innerbelysning bil, kupébelysning, instrumentbelysning, dörrbelysning, stämningsbelysning, LED interiör, bilinteriör</t>
  </si>
  <si>
    <t>bilbelysning, LED-lampor, diodlampor, LED bil, fordons-LED, energisnål belysning, positionsljus, signalbelysning, modern bilbelysning</t>
  </si>
  <si>
    <t>bilbelysning, LED konverteringsset, LED kit, helljus LED, halvljus LED, strålkastarkonvertering, uppgradering belysning, bil LED kit, retrofit</t>
  </si>
  <si>
    <t>bilbelysning, fordonsbelysning, specialbelysning, extra belysning bil, tillbehör belysning, positionsljus, registreringsljus, signalbelysning</t>
  </si>
  <si>
    <t>bilbelysning, xenonlampa, xenonlampor, HID-lampor, gasurladdningslampa, strålkastare xenon, helljus xenon, halvljus xenon, bil</t>
  </si>
  <si>
    <t>bildiagnostik, felkodsläsare, OBD, OBD2, diagnosverktyg bil, motorfel, felkoder, bilscanner, fordonsdiagnos, check engine, bil elektronik</t>
  </si>
  <si>
    <t>bil el, elkablar bil, fordonskablar, bilkablage, adaptrar bil, anslutningskablar, elinstallation bil, tillbehör bil el</t>
  </si>
  <si>
    <t>elbil, laddkabel elbil, elbilsladdning, EV-laddkabel, typ 2 laddkabel, laddsladd bil, elfordon, laddutrustning</t>
  </si>
  <si>
    <t>mätinstrument, testinstrument, multimeter, spänningsmätare, eltestare, bil eltest, fordonsel, mätverktyg</t>
  </si>
  <si>
    <t>batteriladdare, starthjälp, startbooster, bilbatteri, laddare bil, nödstart, batteristart, bil el</t>
  </si>
  <si>
    <t>bilkamera, dashcam, bilvideokamera, färdskrivare, bilövervakning, körinspelning, trafikkamera bil, bil säkerhet</t>
  </si>
  <si>
    <t>billjud, bilstereo, bilhögtalare, ljudsystem bil, stereoanläggning bil, bilradio, audio bil, fordonsljud</t>
  </si>
  <si>
    <t>FM-sändare, FM-mottagare, bluetooth FM-sändare, bilradio adapter, ljudöverföring bil, trådlöst ljud bil</t>
  </si>
  <si>
    <t>billjud, ljudkablar bil, audiokablar, stereo tillbehör, bil audio, anslutningskablar, ljudinstallation bil</t>
  </si>
  <si>
    <t>biltillbehör, bilinredning, bilinteriör, interiörtillbehör bil, komfort bil, sätesöverdrag, nackkudde bil, rattöverdrag, golvmattor bil, bagagerumsmatta, solskydd bil, inredningsdetaljer, bilkomfort</t>
  </si>
  <si>
    <t>biltillbehör, billaddare, mobilladdare bil, USB-laddare bil, USB-C laddare bil, 12V laddare, cigguttag laddare, snabbladdning bil, bil el, laddadapter bil, strömförsörjning bil</t>
  </si>
  <si>
    <t>biltillbehör, GPS, GPS-navigator, bilnavigation, navigationssystem, körnavigering, ruttplanering, GPS-tillbehör, GPS-hållare, navigator bil, bil elektronik, positionering</t>
  </si>
  <si>
    <t>biltillbehör, bilhållare, mobilhållare bil, telefonhållare bil, förvaring bil, bilorganiserare, sätesförvaring, mugghållare, instrumentbräda tillbehör, nackstödsfäste, bilförvaring</t>
  </si>
  <si>
    <t>biltillbehör, bilaccessoarer, tillbehör bil, fordonsutrustning, extra bilutrustning, universella biltillbehör, praktiska biltillbehör, bilgadgets, bilprodukter</t>
  </si>
  <si>
    <t>biltillbehör, bilsäkerhet, säkerhetstillbehör bil, skyddsutrustning bil, stöldskydd bil, rattlås, bältesklippare, nödhammare, varningstriangel, säkerhetsutrustning</t>
  </si>
  <si>
    <t>biltillbehör, vinterutrustning bil, vintertillbehör bil, isskrapa, snöborste, frostskydd, halkskydd, vinterkörning, bil vinter, kyla bil, snö och is</t>
  </si>
  <si>
    <t>cykeltillbehör, cykelbelysning, cykellampa, LED cykel, framlykta cykel, baklampa cykel, positionsljus cykel, cykelsäkerhet, mörkerkörning, cykel ljus</t>
  </si>
  <si>
    <t>cykeltillbehör, cykellås, lås cykel, stöldskydd cykel, bygellås, vajerlås, kedjelås, cykelsäkerhet, låsanordning cykel, cykel trygghet</t>
  </si>
  <si>
    <t>cykeltillbehör, cykelpump, luftpump cykel, däckpump, handpump cykel, minipump, ventilpump, cykelunderhåll, pumpa däck, cykeldäck</t>
  </si>
  <si>
    <t>cykeltillbehör, cykelkomfort, komforttillbehör cykel, sadelöverdrag, cykelsadel, handtag cykel, ergonomi cykel, vibrationsdämpning, bekväm cykling</t>
  </si>
  <si>
    <t>cykeltillbehör, cykelaccessoarer, tillbehör cykel, extra cykelutrustning, universella cykeltillbehör, cykelprodukter, praktiska cykeltillbehör</t>
  </si>
  <si>
    <t>cykeltillbehör, cykelreparation, cykelunderhåll, reparationskit cykel, cykelverktyg, multiverktyg cykel, däckreparation cykel, service cykel</t>
  </si>
  <si>
    <t>cykeltillbehör, cykelskydd, cykelförvaring, cykelöverdrag, transportskydd cykel, väderskydd cykel, förvara cykel, cykel skydd</t>
  </si>
  <si>
    <t>elscooter, reservdelar elscooter, elscooter delar, ersättningsdelar, hjul elscooter, däck elscooter, broms elscooter, batteri elscooter, motor elscooter, styre elscooter, elscooter reparation, underhåll elscooter</t>
  </si>
  <si>
    <t>elscooter, elscootertillbehör, tillbehör elscooter, elscooterutrustning, elscooter säkerhet, klocka elscooter, lås elscooter, belysning elscooter, väska elscooter, mobilhållare elscooter, elscooter komfort</t>
  </si>
  <si>
    <t>motorcykel, bluetooth motorcykel, mc bluetooth, hjälmkommunikation, intercom mc, trådlös kommunikation mc, mc headset, handsfree motorcykel, mc ljud, kommunikationssystem</t>
  </si>
  <si>
    <t>motorcykel, mobilhållare motorcykel, telefonhållare mc, mobilfäste mc, styrefäste motorcykel, navigationshållare mc, smartphone mc, mc tillbehör</t>
  </si>
  <si>
    <t>motorcykel, motorcykeltillbehör, mc tillbehör, mc utrustning, motorcykelaccessoarer, extra mc utrustning, universella mc tillbehör</t>
  </si>
  <si>
    <t>motorcykel, mc utrustning, personlig utrustning mc, skyddsutrustning motorcykel, mc säkerhet, skydd mc, körutrustning motorcykel</t>
  </si>
  <si>
    <t>motorcykel, mc skydd, mc kapell, överdrag motorcykel, väderskydd mc, förvaring motorcykel, skyddsutrustning mc, mc skyddsutrustning</t>
  </si>
  <si>
    <t>håraccessoarer, hårtillbehör, hårband, hårspännen, scrunchies, hårklämmor, stylingtillbehör hår, frisyr tillbehör, hårmode</t>
  </si>
  <si>
    <t>hårborste, kam, hårborstar, kammar, hårvård, reda ut hår, stylingborste, hårredskap, daglig hårvård</t>
  </si>
  <si>
    <t>locktång, plattång, hårstyling, värmestyling hår, locka hår, räta hår, stylingverktyg hår, frisyrverktyg</t>
  </si>
  <si>
    <t>hårfön, värmeborste, hårtork, föna hår, styling hår, värmeverktyg hår, hårstyling verktyg, volym hår</t>
  </si>
  <si>
    <t>ergonomisk kudde, nackkudde, ryggkudde, stöd kudde, ergonomi, sovkomfort, sittkudde, avlastning kropp</t>
  </si>
  <si>
    <t>gånghjälpmedel, stöd vid gång, hjälpmedel gång, balanshjälp, rörlighet, gångstöd, rehabilitering</t>
  </si>
  <si>
    <t>grepphjälpmedel, greppstöd, hjälpmedel hand, nedsatt greppstyrka, ergonomiskt grepp, vardagshjälp</t>
  </si>
  <si>
    <t>påklädningshjälpmedel, klä på sig hjälp, hjälpmedel vardag, självständighet, rörlighet, ergonomiskt hjälpmedel</t>
  </si>
  <si>
    <t>badrumshjälpmedel, toalett hjälpmedel, hygienhjälpmedel, stödhandtag badrum, duschstol, säkerhet badrum</t>
  </si>
  <si>
    <t>blodtrycksmätare, blodtryck, blodtryckskontroll, mät blodtryck, hälsomätning, överarmsmätare, handledsmätare, pulsmätning, hjärthälsa, medicinsk mätutrustning, hemhälsa</t>
  </si>
  <si>
    <t>doseringsask, medicinask, pillerask, läkemedelsförvaring, dosera medicin, veckodosett, dagdosett, tablettask, hjälpmedel medicin, vård i hemmet</t>
  </si>
  <si>
    <t>febertermometer, termometer, kroppstemperatur, febermätning, digital termometer, panntermometer, örontermometer, temperaturmätare, hälsokontroll</t>
  </si>
  <si>
    <t>munskydd, ansiktsmask, visir, skyddsutrustning, andningsskydd, hygienprodukter, smittskydd, personlig skyddsutrustning, engångsskydd</t>
  </si>
  <si>
    <t>öronvård, ögonvård, öronrengöring, ögonhygien, hörselvård, synvård, vårdprodukter öron, vårdprodukter ögon, personlig vård</t>
  </si>
  <si>
    <t>hälsoprodukter, hälsa, välmående, egenvård, friskvård, vård i hemmet, hälsotillbehör, daglig hälsa</t>
  </si>
  <si>
    <t>personlig hygien, hygienprodukter, kroppsvård, daglig hygien, rengöring kropp, intimhygien, hudrengöring, hygienartiklar</t>
  </si>
  <si>
    <t>smärtlindring, lindra smärta, värmebehandling, kyla behandling, muskelvärk, ledvärk, smärthjälpmedel, smärtbehandling</t>
  </si>
  <si>
    <t>sömnhjälpmedel, bättre sömn, sömnkomfort, insomning, sömnproblem, avslappning, sovhjälp, sömnprodukter</t>
  </si>
  <si>
    <t>akupressur, massagematta, avslappning, smärtlindring, muskelavslappning, stressreducering, kroppsmassage, tryckmassage</t>
  </si>
  <si>
    <t>ljusterapi, ljusbehandling, välmående, energi, vintertrötthet, humörbalans, dagsljuslampa, ljusbehandling hemma</t>
  </si>
  <si>
    <t>massage, massagepistol, muskelmassage, djupmassage, återhämtning, träningsmassage, muskelavslappning, massageverktyg</t>
  </si>
  <si>
    <t>rödljusterapi, ljusbehandling, återhämtning, muskelhälsa, hudhälsa, infrarött ljus, terapeutiskt ljus, behandling hemma</t>
  </si>
  <si>
    <t>TENS, muskelstimulering, elstimulering, smärtlindring, nervstimulering, rehabilitering, muskelbehandling, vård i hemmet</t>
  </si>
  <si>
    <t>värmefilt, värmebehandling, värmedyna, värmeterapi, muskelavslappning, smärtlindring, värmeprodukt, komfort</t>
  </si>
  <si>
    <t>borsthuvuden, eltandborste tillbehör, tandborsthuvud, munhygien, tandvård, rengöring tänder, reservdelar tandborste</t>
  </si>
  <si>
    <t>tandborste, eltandborste, munhygien, daglig tandvård, rengöring tänder, munvård, tandhälsa</t>
  </si>
  <si>
    <t>tandvård, munvård, tänder, tandhälsa, munhygienprodukter, plackkontroll, frisk mun</t>
  </si>
  <si>
    <t>tandblekning, whitening, vitare tänder, blekning tänder, munhygien, leende, tandvård, kosmetisk tandvård</t>
  </si>
  <si>
    <t>hårborttagning, ta bort hår, kroppshår, ansiktshår, vaxning, epilator, hårborttagningsprodukter, slät hud, hygien, personlig vård, rakning</t>
  </si>
  <si>
    <t>rakapparat, skäggtrimmer, rakning, trimma skägg, hårtrimmer, elektrisk rakning, skäggvård, grooming, personlig vård, herrrakning</t>
  </si>
  <si>
    <t>rakhuvud, skärblad, rakblad, reservdel rakapparat, rakningstillbehör, rakhuvud byte, precisionsrakning, rakvård</t>
  </si>
  <si>
    <t>rakningstillbehör, reservdelar rakning, laddare rakapparat, rengöringsborste, förbrukningsdelar, grooming tillbehör, personlig vård</t>
  </si>
  <si>
    <t>fotvård, fothälsa, torra fötter, fotkräm, förhårdnader, fotfil, nagelvård fötter, egenvård, hudvård</t>
  </si>
  <si>
    <t>hårvård, schampo, balsam, hårbehandling, vårda hår, hårbotten, styling hår, hårhälsa, daglig hårvård</t>
  </si>
  <si>
    <t>hudvård, ansiktsvård, kroppsvård, hudkräm, rengöring hud, återfuktning, hudhälsa, daglig hudvård</t>
  </si>
  <si>
    <t>makeup, smink, sminktillbehör, kosmetika, borstar smink, applicering smink, skönhetsprodukter, ansiktsmakeup</t>
  </si>
  <si>
    <t>nagelvård, naglar, nagelklippare, nagelfil, nagelvård produkter, manikyr, pedikyr, handvård</t>
  </si>
  <si>
    <t>armbågsstöd, armbågsskydd, ledstöd, smärtlindring, rehabilitering, sportstöd, överbelastning, ergonomiskt stöd</t>
  </si>
  <si>
    <t>axelstöd, axelskydd, ledstöd, smärtlindring axel, rehabilitering, hållningsstöd, rörelsestöd</t>
  </si>
  <si>
    <t>fotledsstöd, fotledsskydd, vrickning, stabilisering fotled, rehabilitering, sportstöd, balans</t>
  </si>
  <si>
    <t>gravidbälte, stödbälte, ryggavlastning, gravidstöd, bålstöd, ergonomiskt bälte, komfort gravid</t>
  </si>
  <si>
    <t>handledsstöd, handledsskydd, karpaltunnel, ledstöd, smärtlindring handled, ergonomi, rehabilitering</t>
  </si>
  <si>
    <t>knäskydd, knästöd, ledstöd knä, stabilisering knä, smärtlindring, sportskydd, rehabilitering</t>
  </si>
  <si>
    <t>kroppsstöd, skyddsutrustning, rehabiliteringsstöd, ergonomiskt stöd, ledskydd, rörlighet</t>
  </si>
  <si>
    <t>rehabilitering, träningshjälpmedel, återhämtning, rörlighetsträning, styrketräning rehab, sjukgymnastik</t>
  </si>
  <si>
    <t>ryggstöd, hållningsstöd, ryggskydd, ergonomi rygg, smärtlindring rygg, hållning, rehabilitering</t>
  </si>
  <si>
    <t>stödstrumpor, kompressionsstrumpor, cirkulation, benhälsa, svullnad ben, vardagsstöd, medicinska strumpor</t>
  </si>
  <si>
    <t>tåspridare, fotvård, tåseparering, hallux valgus, fotkomfort, fothälsa, rehabilitering fot</t>
  </si>
  <si>
    <t>barnsäkerhet, barnsäkra produkter, barnsäkert hem, säkerhet barn, barnskydd, spärrar barn, hörnskydd, låsspärrar, skydd barn, hem säkerhet</t>
  </si>
  <si>
    <t>dörrklocka, ringklocka, trådlös dörrklocka, smart dörrklocka, hem säkerhet, entré, signalering, besökslarm</t>
  </si>
  <si>
    <t>kameraövervakning, övervakningskamera, säkerhetskamera, CCTV, hemövervakning, trådlös kamera, utomhuskamera, inomhuskamera, säkerhetssystem</t>
  </si>
  <si>
    <t>larm, hemlarm, billarm, säkerhetslarm, inbrottslarm, fordonssäkerhet, larmsystem, skydd hem</t>
  </si>
  <si>
    <t>lås, nyckelskåp, nyckelförvaring, keyfinder, nyckelhittare, säker förvaring, kodlås, säkerhet hem</t>
  </si>
  <si>
    <t>överfallslarm, personlarm, självförsvar, personlig säkerhet, trygghet, nödlarm, säkerhetslarm</t>
  </si>
  <si>
    <t>säkerhetsprodukter, hem säkerhet, skyddsutrustning, trygghetsprodukter, säkerhetstillbehör, förebyggande säkerhet</t>
  </si>
  <si>
    <t>RFID, RFID-skydd, RFID-kort, kontaktlös teknik, åtkomstkontroll, säkerhetskort, identifiering</t>
  </si>
  <si>
    <t>rörelsesensor, rörelsedetektor, PIR-sensor, rörelselarm, sensorteknik, hemövervakning, säkerhet</t>
  </si>
  <si>
    <t>bevattning, vattning trädgård, droppbevattning, slangar, sprinklers, bevattningssystem, växtvattning</t>
  </si>
  <si>
    <t>fågelholk, insektshotell, biologisk mångfald, trädgårdsliv, fåglar, pollinatörer, naturvänlig trädgård</t>
  </si>
  <si>
    <t>mätverktyg trädgård, jordmätare, fuktmätare, pH-mätare, testinstrument, odlingsverktyg</t>
  </si>
  <si>
    <t>ogräsbekämpning, ogräs, rensa ogräs, ogräsmedel, trädgårdsskötsel, ogräsverktyg</t>
  </si>
  <si>
    <t>trädgårdsprylar, trädgårdstillbehör, odlingstillbehör, trädgårdsutrustning, praktiska trädgårdsprodukter</t>
  </si>
  <si>
    <t>reservdelar trädgårdsmaskiner, maskindelar, gräsklippare delar, trädgårdsmaskin service, underhåll</t>
  </si>
  <si>
    <t>trädgårdsredskap, spade, kratta, sekatör, handverktyg trädgård, odlingsredskap</t>
  </si>
  <si>
    <t>fågelskydd, djurskrämmor, skrämma fåglar, djuravvisare, trädgårdsskydd, skadedjursskydd</t>
  </si>
  <si>
    <t>förebyggande skydd, skadedjursskydd, skydda hem, barriärskydd, tätning, skadeförebyggande</t>
  </si>
  <si>
    <t>skadedjur, insekter, insektsbekämpning, skadedjurskontroll, ohyra, skydd mot insekter</t>
  </si>
  <si>
    <t>skyddsnät, täcknät, barriärskydd, växtskydd, odlingsskydd, nät trädgård, skydda grödor</t>
  </si>
  <si>
    <t>energimätare, energiförbrukning, elförbrukning, smart energimätning, elmätare, strömmätare, energikontroll, smart hem, energibesparing, hushållsel, elövervakning</t>
  </si>
  <si>
    <t>smart belysning, smarta lampor, LED smart, trådlös belysning, appstyrd belysning, dimbar belysning, ljusstyrning, smart hem, hemautomation</t>
  </si>
  <si>
    <t>smart plug, smart uttag, smart brytare, fjärrstyrt uttag, strömbrytare smart, elstyrning, hemautomation, energibesparing, smart hem</t>
  </si>
  <si>
    <t>smart dörrklocka, videodörrklocka, trådlös dörrklocka, kamera dörrklocka, hem säkerhet, smart hem, besöksavisering, entréövervakning</t>
  </si>
  <si>
    <t>smart hem-system, hemautomation, smarta hemmet, central styrning, uppkopplat hem, IoT, hemstyrning, smarta enheter, automation</t>
  </si>
  <si>
    <t>smart sensor, sensorer smart hem, rörelsesensor, temperatursensor, fuktsensor, dörrsensor, övervakning hem, hemautomation</t>
  </si>
  <si>
    <t>fågelmatare, mata fåglar, trädgårdsfåglar, fågelmat, uteplats, naturvänlig trädgård, vilda fåglar, trädgårdsliv</t>
  </si>
  <si>
    <t>fontän, trädgårdsfontän, damm, vatteninslag trädgård, vattenpump, dekorativ trädgård, uteplats vatten</t>
  </si>
  <si>
    <t>grill, grilltillbehör, utegrill, kolgrill, gasolgrill, grillredskap, grillning, matlagning utomhus</t>
  </si>
  <si>
    <t>hängmatta, vila utomhus, uteplats komfort, trädgårdsmöbler, avslappning, sommar, uteliv</t>
  </si>
  <si>
    <t>överdrag utemöbler, möbelskydd, regnskydd möbler, väderskydd, skydd utomhus, förläng livslängd möbler</t>
  </si>
  <si>
    <t>pool, spa, bubbelpool, bad utomhus, pooltillbehör, spabad, avkoppling, sommarbad</t>
  </si>
  <si>
    <t>trädgårdsbelysning, utomhusbelysning, trädgårdslampor, solcellslampor, utebelysning, stämningsljus, gångbelysning</t>
  </si>
  <si>
    <t>trädgårdsinredning, uteinredning, dekoration trädgård, uteplats design, trädgårdsmöbler, uteliv</t>
  </si>
  <si>
    <t>trädgårdsprydnader, dekoration trädgård, trädgårdsdekoration, utomhusdekoration, statyer trädgård, prydnad</t>
  </si>
  <si>
    <t>arbetshandskar, skyddshandskar, handskydd, skyddsutrustning, arbetsmiljö, säkerhet arbete, slitstarka handskar, byggarbete, trädgårdsarbete</t>
  </si>
  <si>
    <t>batteri elverktyg, verktygsbatteri, uppladdningsbart batteri, litiumbatteri, reservbatteri, elverktyg ström, batteripack, laddbart</t>
  </si>
  <si>
    <t>elverktyg, elektriska verktyg, borrmaskin, skruvdragare, slipmaskin, såg el, verktyg bygg, hemmafix, hantverk</t>
  </si>
  <si>
    <t>handverktyg, verktyg hand, skruvmejsel, tång, hammare, bits, verktygstillbehör, mekaniskt arbete</t>
  </si>
  <si>
    <t>mätverktyg, måttband, vattenpass, laserverktyg, inspektionskamera, mätinstrument, precisionsmätning</t>
  </si>
  <si>
    <t>monteringsverktyg, fästdon, skruvar, pluggar, bultar, muttrar, montage, infästning</t>
  </si>
  <si>
    <t>verktyg, specialverktyg, praktiska verktyg, byggverktyg, hemmafix, verkstadsverktyg</t>
  </si>
  <si>
    <t>reparationsverktyg, laga, underhåll, serviceverktyg, fixaverktyg, verktyg reparation</t>
  </si>
  <si>
    <t>bluetooth-adapter, bluetooth dongle, trådlös anslutning, bluetooth usb, dator bluetooth, trådlös kommunikation</t>
  </si>
  <si>
    <t>laptoptillbehör, laptopväska, kylplatta laptop, laddare laptop, dator tillbehör, mobil arbetsplats</t>
  </si>
  <si>
    <t>mikrofon, webbkamera, videomöten, streaming, distansarbete, ljudinspelning, kamera dator</t>
  </si>
  <si>
    <t>datormus, tangentbord, inputenheter, trådlös mus, mekaniskt tangentbord, ergonomi arbete</t>
  </si>
  <si>
    <t>dator tillbehör, arbetsplatstillbehör, kontor teknik, praktiska tillbehör, IT-tillbehör</t>
  </si>
  <si>
    <t>router, nätverk, switch, internetutrustning, nätverksutrustning, LAN, hemnätverk</t>
  </si>
  <si>
    <t>wifi, trådlöst nätverk, wifi extender, nätverksförstärkare, mesh nätverk, bättre täckning</t>
  </si>
  <si>
    <t>usb-hubb, dockningsstation, usb docka, fler portar, arbetsstation, anslutning dator</t>
  </si>
  <si>
    <t>usb-minne, lagring, flashminne, datalagring, bärbar lagring, minnesenhet</t>
  </si>
  <si>
    <t>actionkamera, sportkamera, videokamera, äventyrskamera, actionkamera tillbehör, fästen actionkamera, vattentät kamera, hjälmfäste, kamera sport, inspelning rörelse</t>
  </si>
  <si>
    <t>vildkamera, åtelkamera, åtelkamera jakt, rörelseaktiverad kamera, naturkamera, övervakning natur, IR-kamera, nattkamera, viltövervakning</t>
  </si>
  <si>
    <t>kamertillbehör, kamerafäste, stativ kamera, kameraväska, objektivtillbehör, kameraskydd, fototillbehör, videoutrustning</t>
  </si>
  <si>
    <t>kamerabatteri, kameraladdare, uppladdningsbart batteri, reservbatteri kamera, strömförsörjning kamera, batteripack, USB-laddning</t>
  </si>
  <si>
    <t>minneskort, SD-kort, microSD, lagring kamera, datalagring, minneskort video, hög hastighet, lagringsmedia</t>
  </si>
  <si>
    <t>foto tillbehör, video tillbehör, kamerautrustning, inspelningsutrustning, bild och video, mediatillbehör</t>
  </si>
  <si>
    <t>spionkamera, dold kamera, minikamera, diskret övervakning, säkerhetskamera liten, hemlig kamera, övervakning</t>
  </si>
  <si>
    <t>studioutrustning, fotostudio, studiobelysning, softbox, stativ studio, bakgrund foto, professionell foto</t>
  </si>
  <si>
    <t>bluetooth-högtalare, trådlös högtalare, portabel högtalare, ljud trådlöst, musikspelare, högtalare bluetooth, ljudsystem</t>
  </si>
  <si>
    <t>gamingheadset, spelheadset, headset gaming, mikrofon headset, ljud gaming, dator headset, konsol headset</t>
  </si>
  <si>
    <t>hörlurar, headset, trådlösa hörlurar, over-ear, in-ear, on-ear, ljudupplevelse, musiklyssning</t>
  </si>
  <si>
    <t>hörlursfodral, hörlursväska, tillbehör hörlurar, skydd hörlurar, förvaring hörlurar, kabelhållare</t>
  </si>
  <si>
    <t>öronkuddar, reservdelar hörlurar, ear pads, hörlursdelar, komfort hörlurar, utbyteskuddar</t>
  </si>
  <si>
    <t>sporthörlurar, träningshörlurar, hörlurar träning, svettåliga hörlurar, trådlösa sporthörlurar, löpning</t>
  </si>
  <si>
    <t>adaptrar, switchar, signaladapter, anslutning elektronik, koppla enheter, omvandling signal</t>
  </si>
  <si>
    <t>bildskärmskabel, HDMI-kabel, DisplayPort, VGA-kabel, DVI-kabel, skärmanslutning, videoöverföring</t>
  </si>
  <si>
    <t>ljudkabel, audiokabel, AUX-kabel, RCA-kabel, ljudöverföring, koppla ljud, stereo</t>
  </si>
  <si>
    <t>nätverkskabel, ethernetkabel, LAN-kabel, internetkabel, nätverksanslutning, datanätverk</t>
  </si>
  <si>
    <t>kablar, elektronik kablar, anslutningskablar, tillbehör kablar, kabelhantering, koppling</t>
  </si>
  <si>
    <t>signalomvandlare, konverterare signal, videoomvandlare, ljudomvandlare, adapter konvertering</t>
  </si>
  <si>
    <t>usb-kabel, laddkabel usb, dataöver</t>
  </si>
  <si>
    <t>mobilhållare, mobilstativ, dockningsstation, mobil docka, surfplattestativ, hållare telefon, skrivbordsstativ, bilhållare mobil, handsfree användning, ergonomi mobil</t>
  </si>
  <si>
    <t>mobilladdare, laddkabel mobil, USB-C laddare, snabbladdning, laddare surfplatta, strömkabel, dataöverföring, USB-kabel, elförsörjning mobil</t>
  </si>
  <si>
    <t>mobiltillbehör, smartphone tillbehör, surfplattetillbehör, telefonaccessoarer, praktiska tillbehör, vardagsanvändning mobil</t>
  </si>
  <si>
    <t>mobilbatteri, reservdelar mobil, ersättningsbatteri, mobilreparation, skärmbyte, batteribyte, reservdel surfplatta, elektronikdelar</t>
  </si>
  <si>
    <t>mobilskal, mobilfodral, mobilskydd, stötskydd mobil, skyddande fodral, telefonfodral, skärmskydd, mobil säkerhet</t>
  </si>
  <si>
    <t>surfplatteskydd, surfplattefodral, skal surfplatta, skyddsfodral, stötskydd surfplatta, tablet case, skärmskydd</t>
  </si>
  <si>
    <t>sportarmband mobil, mobilarmband, mobilväska, träningsarmband, löpning mobil, förvaring mobil, sporttillbehör</t>
  </si>
  <si>
    <t>styluspenna, pekpenna, touchpenna, ritpenna surfplatta, mobilgadgets, kreativa tillbehör, precision pekskärm</t>
  </si>
  <si>
    <t>nintendo switch tillbehör, switch tillbehör, spelkontroller, joy-con, switch fodral, laddare switch, gaming tillbehör</t>
  </si>
  <si>
    <t>speltillbehör, gaming tillbehör, spelaccessoarer, kontroller, laddstation spel, tillbehör konsol</t>
  </si>
  <si>
    <t>playstation tillbehör, PS tillbehör, handkontroll, dualsense, laddstation ps, gaming konsol, spelutrustning</t>
  </si>
  <si>
    <t>retrospel, klassiska spel, retro konsol, spel nostalgi, retro tillbehör, gamla spel, gaming retro</t>
  </si>
  <si>
    <t>fjärrkontroll, tv-fjärrkontroll, universalfjärr, ersättningsfjärr, fjärrstyrning tv, hemunderhållning</t>
  </si>
  <si>
    <t>tv-tillbehör, tv accessoarer, hemunderhållning, bild och ljud, praktiska tv tillbehör</t>
  </si>
  <si>
    <t>projektor, projektorduk, hemmabio, bildprojektion, videoprojektor, presentationsutrustning, storbild</t>
  </si>
  <si>
    <t>streaming enhet, mediagadget, smart tv tillbehör, mediaspelare, strömmande media, digital underhållning</t>
  </si>
  <si>
    <t>tv-väggfäste, tv-stativ, väggmontering tv, skärmfäste, justerbart fäste, montering tv</t>
  </si>
  <si>
    <t>badrumsinredning, badrumsmöbler, inredning badrum, tvättställ, badrumsskåp, spegelskåp, modern badrum, funktionell badrum</t>
  </si>
  <si>
    <t>badrumsvåg, personvåg, viktmätning, kroppsvikt, digital våg, hälsa badrum, våg hem</t>
  </si>
  <si>
    <t>duschtillbehör, badtillbehör, duschdraperi, duschmunstycke, badrumstillbehör, duschförvaring, badkomfort</t>
  </si>
  <si>
    <t>badrumsförvaring, necessär, förvaringslådor badrum, toalettväska, organisera badrum, hygienförvaring</t>
  </si>
  <si>
    <t>handdukar, badhanddukar, frotté, textilier badrum, torka händer, badtextil</t>
  </si>
  <si>
    <t>badrumstillbehör, övrigt badrum, hygienprodukter, badrumsdetaljer, kompletterande inredning</t>
  </si>
  <si>
    <t>barnrumsdekoration, dekoration barnrum, väggdekoration, barnvänlig inredning, lekfull design</t>
  </si>
  <si>
    <t>förvaring barnrum, leksaksförvaring, hyllor barnrum, lådor barn, organisera leksaker</t>
  </si>
  <si>
    <t>lekmattor, barnmatta, lekunderlag, mjuk matta barn, golvlek, barnrum golv</t>
  </si>
  <si>
    <t>nattlampa barn, barnlampa, sänglampa barn, trygg belysning, somnlampa</t>
  </si>
  <si>
    <t>barnrumsinredning, övrig barninredning, möbler barnrum, barnvänlig design</t>
  </si>
  <si>
    <t>arbetsbelysning, skrivbordslampa, arbetslampa, funktionell belysning, bra ljus arbete</t>
  </si>
  <si>
    <t>batteridriven lampa, sladdlös belysning, portabel lampa, flexibel belysning</t>
  </si>
  <si>
    <t>julbelysning, juldekoration ljus, ljusslinga jul, stämningsljus jul</t>
  </si>
  <si>
    <t>läslampa, sänglampa, punktbelysning, läsbelysning, riktat ljus</t>
  </si>
  <si>
    <t>LED-lampa, energieffektiv belysning, LED belysning, ljuskälla LED</t>
  </si>
  <si>
    <t>LED-strip, ljuslist, dekorbelysning, indirekt ljus, LED-remsa</t>
  </si>
  <si>
    <t>ljusslinga inomhus, dekorbelysning, mysbelysning, stämningsljus</t>
  </si>
  <si>
    <t>ljusslinga utomhus, trädgårdsbelysning, utebelysning slinga</t>
  </si>
  <si>
    <t>mysbelysning, stämningsbelysning, dekorativt ljus, trivselljus</t>
  </si>
  <si>
    <t>belysning, lampor, ljuslösningar, allmänbelysning</t>
  </si>
  <si>
    <t>smart belysning, uppkopplad belysning, appstyrd lampa, smart hem</t>
  </si>
  <si>
    <t>solcellsbelysning, solcellslampa, energisnål belysning, utebelysning</t>
  </si>
  <si>
    <t>spotlight, punktbelysning, infälld belysning, riktat ljus</t>
  </si>
  <si>
    <t>utomhusbelysning, fasadbelysning, trädgårdslampor, utebelysning</t>
  </si>
  <si>
    <t>utomhusspotlight, strålkastare, kraftig belysning, säkerhetsljus ute</t>
  </si>
  <si>
    <t>dekorativa figurer, prydnadsfigurer, inredningsdetaljer, heminredning dekoration, prydnader hem, designfigurer, dekorativa objekt, bordsdekoration</t>
  </si>
  <si>
    <t>väggklocka, bordsklocka, klockor inredning, tidsvisare, heminredning klocka, designklocka, analog klocka, digital klocka</t>
  </si>
  <si>
    <t>ljushållare, ljuslykta, värmeljushållare, levande ljus, stämningsljus, dekorativ belysning, inredningsljus</t>
  </si>
  <si>
    <t>säsongsdekoration, högtidsdekoration, juldekoration, påskdekoration, festdekoration, temadekoration, dekoration hem</t>
  </si>
  <si>
    <t>väggdekoration, posters, väggkonst, tavlor, inredning vägg, konsttryck, affischer, heminredning</t>
  </si>
  <si>
    <t>vaser, blomkrukor, krukor inredning, växtdekoration, snittblommor, inomhusväxter, dekorativa kärl</t>
  </si>
  <si>
    <t>fjärrstyrd strömbrytare, trådlös strömbrytare, elstyrning, smart el, fjärrkontroll el, hemautomation</t>
  </si>
  <si>
    <t>grenpropp, grenuttag, eluttag förlängning, strömfördelare, elanslutning, el i hemmet</t>
  </si>
  <si>
    <t>elkablar, laddkablar, strömförsörjning, laddning hem, elanslutning, USB-laddning, kabelhantering</t>
  </si>
  <si>
    <t>elprodukter, el tillbehör, hushållsel, elutrustning, smart hem el, praktiska elprodukter</t>
  </si>
  <si>
    <t>smart plug, smart uttag, timer el, tidsstyrning, energibesparing, hemautomation, smart hem</t>
  </si>
  <si>
    <t>strömadapter, nätadapter, eladapter, omvandlare ström, strömförsörjning, el tillbehör</t>
  </si>
  <si>
    <t>förvaringslådor, förvaringskorgar, organisering hem, smart förvaring, lådor inredning, ordning hem</t>
  </si>
  <si>
    <t>hyllor, småförvaring, vägghyllor, organiseringslösningar, förvaring inredning, ordning rum</t>
  </si>
  <si>
    <t>krokar, upphängning, väggkrokar, hängare, organisera hall, praktisk förvaring</t>
  </si>
  <si>
    <t>förvaring hem, förvaringslösningar, organiseringsprodukter, flexibel förvaring</t>
  </si>
  <si>
    <t>necessär, reseförvaring, toalettväska, packorganisering, resor, hygienförvaring</t>
  </si>
  <si>
    <t>gardiner, gardintillbehör, fönsterinredning, textilier hem, upphängning gardin, insynsskydd</t>
  </si>
  <si>
    <t>kuddfodral, prydnadskuddar, textil inredning, soffkuddar, dekorativa kuddar</t>
  </si>
  <si>
    <t>mattor, dukar, golvmattor, bordstextil, heminredning textil, skydd ytor</t>
  </si>
  <si>
    <t>plädar, filtar, mysfilt, textilier vardagsrum, värme, hemtrevnad</t>
  </si>
  <si>
    <t>sängkläder, påslakan, örngott, bäddtextil, sovrumstextil, sängkomfort</t>
  </si>
  <si>
    <t>adventskalender, julkalender, kalender barn, nedräkning jul, överraskningar, presentkalender, säsongsleksak, decemberlek</t>
  </si>
  <si>
    <t>aktivitetsleksaker, rörelselek, utomhuslek, inomhuslek, barnaktivitet, motorik, lek och rörelse</t>
  </si>
  <si>
    <t>barnpussel, pussel barn, barnspel, sällskapsspel barn, lärande lek, logikspel, familjespel</t>
  </si>
  <si>
    <t>bilbanor, fordonsleksaker, leksaksbilar, tågbanor, racerbana, byggbar bana, lekfordon</t>
  </si>
  <si>
    <t>experimentleksaker, lärande leksaker, pedagogiska leksaker, vetenskapsleksaker, STEM, upptäckarlust</t>
  </si>
  <si>
    <t>fidget toys, stressleksaker, antistress, sensoriska leksaker, koncentration, taktil lek</t>
  </si>
  <si>
    <t>leksaksfigurer, miniatyrer, samlarfigurer, lekfigurer, tillbehör figurer, fantasylek</t>
  </si>
  <si>
    <t>gosedjur, dockor, mjukisdjur, leksaksdockor, trygghetsleksak, rolllek</t>
  </si>
  <si>
    <t>maskerad, rolleksaker, utklädning, fantasylek, kostym barn, låtsaslek</t>
  </si>
  <si>
    <t>leksaker, barnleksaker, lekprodukter, övrig lek, presentleksak</t>
  </si>
  <si>
    <t>ljudleksaker, sångleksaker, musikleksaker, barnmusik, ljudlek, musikalisk lek</t>
  </si>
  <si>
    <t>musikinstrument, barninstrument, trummor, keyboard, gitarr barn, musiklek</t>
  </si>
  <si>
    <t>musiktillbehör, instrumenttillbehör, notställ, plektrum, musikaccessoarer</t>
  </si>
  <si>
    <t>alla hjärtans dag present, romantisk present, kärlekspresent, gåva partner, presentidé</t>
  </si>
  <si>
    <t>fars dag present, present pappa, gåva fars dag, presentidé vuxen</t>
  </si>
  <si>
    <t>flytta hemifrån present, inflyttningspresent, första hemmet, praktisk gåva</t>
  </si>
  <si>
    <t>mors dag present, present mamma, gåva mors dag, uppskattningspresent</t>
  </si>
  <si>
    <t>present barn, barnpresent, leksak present, födelsedag barn</t>
  </si>
  <si>
    <t>present vuxen, gåva vuxna, presentidé, födelsedagspresent</t>
  </si>
  <si>
    <t>studentpresent, examen present, firande student, minnesgåva</t>
  </si>
  <si>
    <t>diamanttavlor, diamond painting, kreativ hobby, pyssel vuxna, konstpyssel</t>
  </si>
  <si>
    <t>målarbok, färgläggning, kreativ avkoppling, pyssel bok, måla</t>
  </si>
  <si>
    <t>pussel, pussel vuxna, pussel barn, logik, avkoppling</t>
  </si>
  <si>
    <t>pyssel, diy-kit, skapa själv, hobbykit, kreativt pyssel</t>
  </si>
  <si>
    <t>rita, måla, skriva, konstmaterial, kreativt skapande, hobby</t>
  </si>
  <si>
    <t>drönare, radiostyrd drönare, flygande leksak, kamera drönare, rc drönare</t>
  </si>
  <si>
    <t>drönarfästen, hållare rc, tillbehör radiostyrt, montering drönare</t>
  </si>
  <si>
    <t>radiostyrt, rc laddare, batteriladdare rc, laddare rc bil, laddare drönare, USB laddare rc, strömförsörjning rc, laddning batteri</t>
  </si>
  <si>
    <t>radiostyrt, rc tillbehör, reservutrustning rc, extra delar, uppgradering rc, tillbehör radiostyrt</t>
  </si>
  <si>
    <t>radiostyrd helikopter, rc helikopter, flygleksak, fjärrstyrd helikopter, inomhusflyg, utomhusflyg</t>
  </si>
  <si>
    <t>radiostyrd båt, rc båt, fjärrstyrd båt, vattenlek rc, modellbåt, radiostyrt vatten</t>
  </si>
  <si>
    <t>radiostyrd bil, rc bil, fjärrstyrd bil, offroad rc, leksaksbil rc, racing rc</t>
  </si>
  <si>
    <t>radiostyrt, rc reservdelar, ersättningsdelar rc, rc reparation, hjul rc, motor rc</t>
  </si>
  <si>
    <t>radiostyrt, rc väska, skydd rc, transportväska, förvaring rc, skyddsutrustning</t>
  </si>
  <si>
    <t>samlarobjekt, samlarprylar, limited edition, memorabilia, hobby samling, prydnadsföremål</t>
  </si>
  <si>
    <t>skämtartiklar, prank, roliga prylar, present skämt, humorprodukter, busartiklar</t>
  </si>
  <si>
    <t>gadgets, smarta prylar, tekniska prylar, roliga gadgets, praktiska innovationer</t>
  </si>
  <si>
    <t>spionprylar, spionleksaker, hemliga prylar, övervakningsgadgets, detektivlek</t>
  </si>
  <si>
    <t>tarotkort, alternativa spel, kortlek tarot, andlighet, spådom, spirituella spel</t>
  </si>
  <si>
    <t>badleksaker, vattenleksaker, poolleksaker, strandleksaker, sommarlek</t>
  </si>
  <si>
    <t>utomhusspel, sportleksaker, bollspel, familjespel ute, rörelselek</t>
  </si>
  <si>
    <t>trädgårdsleksaker, utelek, lek i trädgård, barnlek utomhus</t>
  </si>
  <si>
    <t>vinterleksaker, snöleksaker, pulka, snow toys, vinterlek</t>
  </si>
  <si>
    <t>barnservis, barnbestick, barnmuggar, matset barn, barnvänlig dukning</t>
  </si>
  <si>
    <t>bestick, knivar gafflar skedar, matbestick, serveringsbestick, dukning</t>
  </si>
  <si>
    <t>glas, muggar, koppar, dryckesglas, kaffemuggar, servering dryck</t>
  </si>
  <si>
    <t>skålar, fat, serveringsfat, uppläggning, serveringstillbehör</t>
  </si>
  <si>
    <t>kylfläkt, fläkt kyla, bordsfläkt, golvfläkt, luftcirkulation, svalka inomhus, sommarkyla, portabel fläkt, inomhusklimat</t>
  </si>
  <si>
    <t>luftavfuktare, avfuktning, minska fukt, inomhusfukt, mögelförebyggande, torr luft, källare fukt, hemklimat</t>
  </si>
  <si>
    <t>luftfuktare, doftspridare, aromadiffuser, fuktig luft, inomhusluft, välmående, eteriska oljor, luftkvalitet</t>
  </si>
  <si>
    <t>luftrenare, luftrening, ren luft, allergifilter, HEPA-filter, ozongenerator, luftkvalitet, inomhusmiljö</t>
  </si>
  <si>
    <t>termometer, väderstation, temperaturmätning, inomhustemperatur, utomhustemperatur, luftfuktighet, klimatövervakning</t>
  </si>
  <si>
    <t>värmefläkt, fläktvärmare, extra värme, inomhusvärme, portabel värmare, uppvärmning rum</t>
  </si>
  <si>
    <t>köksredskap, handredskap, matlagning, slevar, stekspadar, vispar, köksverktyg</t>
  </si>
  <si>
    <t>köksknivar, knivar, kökssax, knivslip, slipning knivar, skärverktyg, matberedning</t>
  </si>
  <si>
    <t>måttskedar, decilitermått, köksmått, bakning, exakt mätning, matlagning</t>
  </si>
  <si>
    <t>köksredskap, kökstillbehör, matlagning verktyg, praktiska köksprodukter</t>
  </si>
  <si>
    <t>sil, durkslag, avrinning, skölja mat, pasta sil, köksredskap</t>
  </si>
  <si>
    <t>rivjärn, skalare, mandolin, skärredskap, grönsaksskärare, matberedning</t>
  </si>
  <si>
    <t>baktillbehör, bakformar, kakformar, bakning, muffinsform, tårtform</t>
  </si>
  <si>
    <t>diskställ, torkställ, disktork, köksdisk, organisera disk</t>
  </si>
  <si>
    <t>förkläde, kökstextilier, kökshanddukar, textil kök, matlagning skydd</t>
  </si>
  <si>
    <t>grytlappar, grillvantar, värmeskydd, skydd händer, kökssäkerhet</t>
  </si>
  <si>
    <t>isformar, isbitar, frysa is, drinktillbehör, kylform</t>
  </si>
  <si>
    <t>kaffetillbehör, vintillbehör, drinktillbehör, barutrustning, servering dryck</t>
  </si>
  <si>
    <t>köksorganiserare, lådinsats, ordning kök, smart förvaring, köksförvaring</t>
  </si>
  <si>
    <t>kryddkvarn, pepparkvarn, oljedispenser, kryddförvaring, smaksättning</t>
  </si>
  <si>
    <t>kökstillbehör, praktiska köksprodukter, vardagskök</t>
  </si>
  <si>
    <t>pizzatillbehör, pizzaspade, pizzaskärare, hemmagjord pizza</t>
  </si>
  <si>
    <t>tårtdekoration, spritspåsar, bakdekoration, dekorera tårta, bakverktyg</t>
  </si>
  <si>
    <t>visp, ballongvisp, elvisp tillbehör, mjölkskummare, skumma mjölk, latte tillbehör, kaffe skum, bakning, matlagning verktyg</t>
  </si>
  <si>
    <t>äggklocka, kökstimer, matlagningstid, timer kök, nedräkning, bakning timer, matlagning precision</t>
  </si>
  <si>
    <t>köksmaskiner, köksapparater, matberedare, mixer, blender, hushållsapparater, köksteknik, matlagning</t>
  </si>
  <si>
    <t>köksvåg, digital våg, väga ingredienser, bakning precision, matlagning mått, hushållsvåg</t>
  </si>
  <si>
    <t>lunchlåda, matlåda, matbehållare, förvara mat, meal prep, förpacka lunch, köksförvaring</t>
  </si>
  <si>
    <t>matlagningstermometer, köttermometer, stektermometer, temperatur mat, grilltermometer, precision matlagning</t>
  </si>
  <si>
    <t>köksutrustning, köksapparater, praktiska köksprodukter, matlagning utrustning</t>
  </si>
  <si>
    <t>köksmaskin tillbehör, reservdelar köksmaskin, extra skålar, vispar till maskin, uppgraderingar kök</t>
  </si>
  <si>
    <t>vakuumförpackare, vakuumförsegling, förvara mat vakuum, vakuumpåsar, matförvaring, hållbar mat</t>
  </si>
  <si>
    <t>dammsugare, dammsugartillbehör, munstycken, golvdammsugning, städmaskin, hemstädning</t>
  </si>
  <si>
    <t>handdammsugare, portabel dammsugare, sladdlös dammsugare, snabb städning, småytor</t>
  </si>
  <si>
    <t>städprodukter, rengöring hem, städutrustning, hushållsstädning</t>
  </si>
  <si>
    <t>köksrengöring, grillrengöring, fettlösare, rengöringsmedel kök, rengöra grill</t>
  </si>
  <si>
    <t>städredskap, moppar, hinkar, sopborste, städutrustning, rengöringsverktyg</t>
  </si>
  <si>
    <t>disksvamp, rengöringssvamp, mikrofibertrasor, diskborste, rengöring kök</t>
  </si>
  <si>
    <t>tvättprodukter, klädvård, fläckborttagning, tvätttillbehör, vårda kläder</t>
  </si>
  <si>
    <t>blåfilterglasögon, skärmskydd ögon, datorglasögon, minska blått ljus, ögonkomfort, arbete skärm</t>
  </si>
  <si>
    <t>clip-on solglasögon, påsättningsglasögon, solskydd glasögon, UV-skydd, smart glasögon</t>
  </si>
  <si>
    <t>läsglasögon, läshjälp, synhjälp, förstoring, läsa text, vardagsglasögon</t>
  </si>
  <si>
    <t>glasögontillbehör, reservdelar glasögon, näskuddar, fodral glasögon, putsduk</t>
  </si>
  <si>
    <t>solglasögon, UV-skydd, skydda ögon, modeglasögon, solskydd ögon</t>
  </si>
  <si>
    <t>byxor, kläder, underdelar, vardagsbyxor, fritidsbyxor, modebyxor, bekväma byxor, dambyxor, herrbyxor, klädstil</t>
  </si>
  <si>
    <t>myskläder, hemmakläder, loungekläder, bekväma kläder, mjuka plagg, avslappnad stil, inomhuskläder</t>
  </si>
  <si>
    <t>kläder, modeplagg, vardagskläder, basplagg, övriga plagg, säsongskläder</t>
  </si>
  <si>
    <t>tatuering sleeves, fake tatuering, arm sleeves, kroppskonst, tillfällig tatuering, accessoar mode</t>
  </si>
  <si>
    <t>t-shirt, överdelar, toppar, tröjor, basplagg, vardagsmode, kläder</t>
  </si>
  <si>
    <t>tubscarf, halsduk, scarf, accessoarer, värmande plagg, modehalsduk</t>
  </si>
  <si>
    <t>damklockor, armbandsur dam, modeklocka, klocka dam, tidmätning, accessoar dam</t>
  </si>
  <si>
    <t>herrklockor, armbandsur herr, klocka herr, klassisk klocka, accessoar herr</t>
  </si>
  <si>
    <t>klockarmband, armband klocka, ersättningsarmband, smartklocka armband, justerbart armband</t>
  </si>
  <si>
    <t>laddare smartklocka, klockladdare, USB-kabel klocka, strömkabel, laddning klocka</t>
  </si>
  <si>
    <t>skärmskydd klocka, displayskydd, reptåligt skydd, smartklocka skydd</t>
  </si>
  <si>
    <t>smartklocka, wearable tech, träningsklocka, hälsomätning, uppkopplad klocka</t>
  </si>
  <si>
    <t>smartklocka barn, barnklocka GPS, trygghetsklocka, kommunikation barn</t>
  </si>
  <si>
    <t>klocktillbehör, verktyg klocka, justering armband, reservdelar klocka</t>
  </si>
  <si>
    <t>halsdukar, scarves, accessoarer vinter, värmande halsduk, modeaccessoar</t>
  </si>
  <si>
    <t>mössor, kepsar, huvudbonad, accessoarer, vintermössa, sommarkeps</t>
  </si>
  <si>
    <t>vantar, handskar, värmande handskar, vinteraccessoarer, handskydd</t>
  </si>
  <si>
    <t>korthållare, kortfodral, kreditkortsförvaring, minimalistisk plånbok</t>
  </si>
  <si>
    <t>plånbok, läderplånbok, sedelfack, kortfack, vardagsplånbok</t>
  </si>
  <si>
    <t>plånbok mobilfack, mobilplånbok, kombinerad plånbok, telefonförvaring</t>
  </si>
  <si>
    <t>rfid-skydd, rfid plånbok, säker plånbok, kortskydd, identitetsskydd</t>
  </si>
  <si>
    <t>badskor, strandskor, vattenskor, strandsandal, skor strand, skor bad, halkskydd skor, sommarskor, strandliv, simning</t>
  </si>
  <si>
    <t>halkskydd skor, broddar, skoskydd, skoöverdrag, vintergrepp, halkskydd vinter, snö och is, säker gång</t>
  </si>
  <si>
    <t>skotillbehör, skovård, skoskydd, skotillbehör övrigt, tillbehör skor, praktiska skoprodukter</t>
  </si>
  <si>
    <t>skoinlägg, sulor, iläggssulor, fotkomfort, stödsulor, ergonomi fötter, dämpning skor</t>
  </si>
  <si>
    <t>skor, damskor, herrskor, vardagsskor, fritidsskor, modeskor, skodon</t>
  </si>
  <si>
    <t>tofflor, inneskor, hemskor, bekväma skor, inomhusskor, värmande tofflor</t>
  </si>
  <si>
    <t>smycken, halsband, armband, ringar, örhängen, accessoarer, mode­smycken</t>
  </si>
  <si>
    <t>smyckesförvaring, smyckeskrin, smyckeslåda, organisera smycken, förvaring accessoarer</t>
  </si>
  <si>
    <t>stödstrumpor, flygstrumpor, kompressionsstrumpor, cirkulation, resa, benhälsa</t>
  </si>
  <si>
    <t>tåstrumpor, strumpor tår, separata tår, fotkomfort, träningsstrumpor</t>
  </si>
  <si>
    <t>underkläder, trosor, kalsonger, basplagg, komfortplagg, vardagsunderkläder</t>
  </si>
  <si>
    <t>strumpor, vardagsstrumpor, bomullsstrumpor, klädaccessoar, fotkläder</t>
  </si>
  <si>
    <t>yogastrumpor, pilatesstrumpor, halkfria strumpor, träning, balans, grepp</t>
  </si>
  <si>
    <t>handväska, småväska, axelväska, crossbody, modeväska, vardagsväska</t>
  </si>
  <si>
    <t>laptopväska, datorväska, skydd laptop, arbete, kontorsväska</t>
  </si>
  <si>
    <t>midjeväska, magväska, bältväska, handsfree väska, resa, fritid</t>
  </si>
  <si>
    <t>reseförvaring, packorganisering, necessär, reseaccessoarer, organisera resa</t>
  </si>
  <si>
    <t>ryggsäck, backpack, vardagsryggsäck, skolryggsäck, rese­ryggsäck</t>
  </si>
  <si>
    <t>barnkalas, kalastillbehör, dekoration barn, ballonger, kalashattar, engångsservis, temakalas, lekar barn, presentkalas</t>
  </si>
  <si>
    <t>festartiklar, partydekoration, ballonger, konfetti, dukning fest, engångsartiklar, dekorationer, festtillbehör</t>
  </si>
  <si>
    <t>halloween, halloweenpynt, masker, dekoration skräck, kostym halloween, fest halloween, temadekoration</t>
  </si>
  <si>
    <t>jultillbehör, julpynt, juldekoration, tomtar, julfest, säsongsdekoration, jul</t>
  </si>
  <si>
    <t>masker, utklädnad, kostym, rollspel, temafest, maskerad, dräkter</t>
  </si>
  <si>
    <t>partyspel, sällskapsspel, festspel, sociala spel, spel kväll, gruppspel</t>
  </si>
  <si>
    <t>presenter, gåvor, presentidé, festpresent, överraskning, smågåvor</t>
  </si>
  <si>
    <t>beredskap, krisberedskap, nödförråd, överlevnadsutrustning, säkerhet, prepping, krisprodukter</t>
  </si>
  <si>
    <t>camping, friluftsutrustning, tält, campingtillbehör, uteliv, vandring, natur</t>
  </si>
  <si>
    <t>solcell, portabel energi, powerstation, laddning utomhus, reservkraft, energiförsörjning</t>
  </si>
  <si>
    <t>ficklampa, pannlampa, belysning utomhus, LED-lampa, nattljus, campingljus</t>
  </si>
  <si>
    <t>jakt, fiske, friluftsliv, fiskeutrustning, jaktutrustning, naturaktivitet</t>
  </si>
  <si>
    <t>kikare, optik, förstoring, naturspaning, fågelskådning, jaktoptik</t>
  </si>
  <si>
    <t>kommunikation, walkie talkie, nödradio, radiosamband, kontakt utomhus</t>
  </si>
  <si>
    <t>kylväska, kylförvaring, matförvaring, picknick, campingmat, isolerad väska</t>
  </si>
  <si>
    <t>luftmadrass, liggunderlag, sovkomfort, camping sova, friluftsnatt</t>
  </si>
  <si>
    <t>utomhusmatlagning, stormkök, campingkök, grill friluft, laga mat ute</t>
  </si>
  <si>
    <t>termos, vattenflaska, dryck utomhus, isolerad flaska, vandring</t>
  </si>
  <si>
    <t>multiverktyg, friluftsverktyg, kniv, campingverktyg, överlevnadsverktyg</t>
  </si>
  <si>
    <t>akvarietillbehör, terrarium, fiskvård, reptilutrustning, djurmiljö</t>
  </si>
  <si>
    <t>hästtillbehör, hästvård, ridutrustning, stall, hästskötsel</t>
  </si>
  <si>
    <t>hundtillbehör, hundvård, koppel, hundleksaker, husdjur hund</t>
  </si>
  <si>
    <t>kattillbehör, kattvård, kattlåda, klösträd, husdjur katt</t>
  </si>
  <si>
    <t>smådjur, gnagare, burutrustning, smådjursvård, husdjur</t>
  </si>
  <si>
    <t>resetillbehör, reseaccessoarer, praktiska reseprylar, organisera resa, reskomfort, reseskydd</t>
  </si>
  <si>
    <t>passfodral, passväska, reseplånbok, dokumentförvaring, resesäkerhet</t>
  </si>
  <si>
    <t>reseadapter, eladapter resa, internationell kontakt, laddning utomlands, strömadapter</t>
  </si>
  <si>
    <t>resenecessär, toalettväska resa, hygienförvaring, packorganisering</t>
  </si>
  <si>
    <t>sovmask, nackstöd, resekudde, sömn resa, komfort flyg</t>
  </si>
  <si>
    <t>bagagevåg, resverktyg, väga bagage, packkontroll, reseutrustning</t>
  </si>
  <si>
    <t>lagkläder, sportset, träningsset, matchkläder, klubbkläder</t>
  </si>
  <si>
    <t>sportaccessoarer, träningsaccessoarer, pannband, svettband</t>
  </si>
  <si>
    <t>träningshandskar, skydd träning, handledsstöd, greppskydd</t>
  </si>
  <si>
    <t>träningskläder, sportkläder, funktionsplagg, träning</t>
  </si>
  <si>
    <t>träningsstrumpor, sportsockor, sulor träning, fotkomfort</t>
  </si>
  <si>
    <t>löparbälte, träningsväst, förvaring träning, löpning</t>
  </si>
  <si>
    <t>balansbräda, koordinationsträning, stabilitet, kroppskontroll</t>
  </si>
  <si>
    <t>golfutrustning, golfträning, golfaccessoarer, puttning</t>
  </si>
  <si>
    <t>gymutrustning, hemmagym, träningsredskap, styrketräning</t>
  </si>
  <si>
    <t>handträning, rehabutrustning, greppträning, återhämtning</t>
  </si>
  <si>
    <t>konditionsträning, motion, uthållighet, pulsträning</t>
  </si>
  <si>
    <t>reflexer, synlighet träning, säkerhet löpning, ledarmband</t>
  </si>
  <si>
    <t>träningsutrustning, träningsredskap, sportutrustning</t>
  </si>
  <si>
    <t>träningsskydd, knäskydd, armbågsskydd, säker träning</t>
  </si>
  <si>
    <t>sportglasögon, simglasögon, ögonskydd, träning vatten</t>
  </si>
  <si>
    <t>stoppur, tidtagning, träningsklocka, intervallträning</t>
  </si>
  <si>
    <t>träningsband, gummiband, styrketräning, motstånd</t>
  </si>
  <si>
    <t>träningsväska, sportväska, gymväska, utrustningsförvaring</t>
  </si>
  <si>
    <t>vattenflaska, shaker, vätska träning, sportdryck</t>
  </si>
  <si>
    <t>yoga, rörlighet, stretching, flexibilitet, yogautrustning</t>
  </si>
  <si>
    <t>fordon, bil, båt, motorcykel, cykel, elscooter, transport, mobilitet, tillbehör fordon, reservdelar, utrustning, underhåll, säkerhet</t>
  </si>
  <si>
    <t>båt, båttillbehör, marin utrustning, fritidsbåt, sjöliv, navigering, säkerhet båt, båtelektronik, båtvård</t>
  </si>
  <si>
    <t>bilbelysning, fordonsbelysning, strålkastare, extraljus, LED-belysning, lampor bil, synlighet, säkerhet trafik</t>
  </si>
  <si>
    <t>bildiagnostik, bilel, fordonsel, felkodsläsare, elsystem bil, mätinstrument, batteri, laddning</t>
  </si>
  <si>
    <t>billjud, bilstereo, bilhögtalare, multimedia bil, bilvideo, underhållning bil, ljudsystem</t>
  </si>
  <si>
    <t>biltillbehör, bilaccessoarer, komfort bil, säkerhet bil, interiör bil, exteriör bil</t>
  </si>
  <si>
    <t>cykeltillbehör, cykelutrustning, cykelsäkerhet, cykelkomfort, cykelunderhåll, pendling</t>
  </si>
  <si>
    <t>elscooter, elsparkcykel, scooter tillbehör, mobilitet, eldrivet fordon, reservdelar</t>
  </si>
  <si>
    <t>motorcykel, mc-tillbehör, mc-utrustning, skydd mc, kommunikation mc, komfort mc</t>
  </si>
  <si>
    <t>hälsa, skönhet, kroppsvård, välmående, personlig vård, egenvård, livsstil</t>
  </si>
  <si>
    <t>hårvård, hårstyling, frisyr, hårverktyg, håraccessoarer, personlig styling</t>
  </si>
  <si>
    <t>hjälpmedel, vardagshjälp, ergonomi, tillgänglighet, stödprodukter, självständighet</t>
  </si>
  <si>
    <t>hygien, hälsoprodukter, personlig hygien, mätinstrument, egenvård</t>
  </si>
  <si>
    <t>massage, avslappning, återhämtning, smärtlindring, stressreduktion, muskelvård</t>
  </si>
  <si>
    <t>munhygien, tandvård, tandborste, munvård, oral hälsa</t>
  </si>
  <si>
    <t>rakning, ansning, hårborttagning, grooming, personlig vård</t>
  </si>
  <si>
    <t>skönhetsprodukter, hudvård, hårvård, kosmetik, kroppsvård</t>
  </si>
  <si>
    <t>rehabilitering, stödprodukter, ortoser, återhämtning, kroppsstöd, träning</t>
  </si>
  <si>
    <t>hem, hushåll, bostad, trädgård, vardagsliv, boende, praktiska produkter, hemutrustning, säkerhet, underhåll</t>
  </si>
  <si>
    <t>säkerhet, hemlarm, övervakning, trygghet, skydd, lås, sensorer, säkerhetsprodukter</t>
  </si>
  <si>
    <t>trädgård, odling, växter, utomhusarbete, trädgårdsredskap, plantering, skötsel</t>
  </si>
  <si>
    <t>skadedjur, skydd, insekter, förebyggande, barriärer, djurskydd, skadedjurskontroll</t>
  </si>
  <si>
    <t>smart hem, hemautomation, uppkopplade produkter, energistyrning, sensorer, appstyrning</t>
  </si>
  <si>
    <t>uteplats, trädgårdsmiljö, utomhusliv, altan, patio, trädgårdsinredning</t>
  </si>
  <si>
    <t>verktyg, reparation, montering, underhåll, bygg, handverktyg, elverktyg</t>
  </si>
  <si>
    <t>hemelektronik, teknik, digitala produkter, elektronik, smarta enheter, anslutning</t>
  </si>
  <si>
    <t>dator, arbetsplats, kontor, tillbehör, produktivitet, anslutning, kringutrustning</t>
  </si>
  <si>
    <t>kamera, foto, video, övervakning, inspelning, bild, säkerhet</t>
  </si>
  <si>
    <t>ljud, hörlurar, högtalare, musik, ljudupplevelse, trådlöst ljud</t>
  </si>
  <si>
    <t>kablar, adaptrar, anslutning, ström, dataöverföring, koppling</t>
  </si>
  <si>
    <t>smartphone, mobil, surfplatta, mobiltillbehör, laddning, skydd</t>
  </si>
  <si>
    <t>spel, gaming, konsoler, underhållning, speltillbehör</t>
  </si>
  <si>
    <t>tv, projektor, bildvisning, hemmabio, streaming, media</t>
  </si>
  <si>
    <t>heminredning, inredning, boendemiljö, stil, hemtrevnad</t>
  </si>
  <si>
    <t>badrum, badrumsinredning, hygienutrymme, funktionell inredning</t>
  </si>
  <si>
    <t>barnrum, barninredning, lekfull miljö, trygg inredning</t>
  </si>
  <si>
    <t>belysning, ljus, lampor, stämning, funktionellt ljus</t>
  </si>
  <si>
    <t>dekoration, prydnad, hemdetaljer, estetik, stil</t>
  </si>
  <si>
    <t>elprodukter, smart el, strömförsörjning, hemelektrisk utrustning</t>
  </si>
  <si>
    <t>förvaring, organisering, ordning, struktur, hemförvaring</t>
  </si>
  <si>
    <t>textil, inredningstextil, hemtillbehör, komfort, mjuka material</t>
  </si>
  <si>
    <t>hobby, lek, fritid, underhållning, kreativitet, spel, aktiviteter, nöje, familjetid</t>
  </si>
  <si>
    <t>leksaker, spel, barnlek, lärande lek, sällskapsspel, aktivitetsleksaker</t>
  </si>
  <si>
    <t>musik, sång, ljud, musikinstrument, musikalisk lek, rytm</t>
  </si>
  <si>
    <t>presenter, gåvor, presentidéer, firande, högtider, överraskning</t>
  </si>
  <si>
    <t>pyssel, kreativitet, skapande, diy, hobbyprojekt, konst</t>
  </si>
  <si>
    <t>radiostyrt, rc-leksaker, fjärrstyrt, tekniklek, modellhobby</t>
  </si>
  <si>
    <t>roliga prylar, gadgets, samlarobjekt, humor, kuriosaprylar</t>
  </si>
  <si>
    <t>utelek, utomhuslek, rörelse, trädgårdslek, säsongslek</t>
  </si>
  <si>
    <t>hushåll, kök, vardag, hemprodukter, praktiska lösningar</t>
  </si>
  <si>
    <t>dukning, servering, matbord, måltid, kökstillbehör</t>
  </si>
  <si>
    <t>inomhusklimat, luftkvalitet, temperatur, komfort, miljö</t>
  </si>
  <si>
    <t>köksredskap, matlagning, köksverktyg, matberedning</t>
  </si>
  <si>
    <t>kökstillbehör, bakning, köksförvaring, köksorganisation</t>
  </si>
  <si>
    <t>köksutrustning, köksapparater, köksteknik, hushållsapparater</t>
  </si>
  <si>
    <t>städning, rengöring, hushållsvård, städutrustning</t>
  </si>
  <si>
    <t>mode, accessoarer, kläder, stil, personlig stil, vardagsmode</t>
  </si>
  <si>
    <t>glasögon, synhjälp, ögonskydd, modeaccessoar, synkomfort, vardagsanvändning, stil</t>
  </si>
  <si>
    <t>kläder, modeplagg, accessoarer, vardagsmode, säsongskläder, personlig stil</t>
  </si>
  <si>
    <t>klockor, armbandsur, tidmätning, smartklockor, wearable tech, accessoar</t>
  </si>
  <si>
    <t>huvudbonader, vinteraccessoarer, värmande plagg, säsongsaccessoarer</t>
  </si>
  <si>
    <t>plånböcker, korthållare, kortförvaring, vardagsaccessoar, säker förvaring</t>
  </si>
  <si>
    <t>skor, skodon, fotkomfort, vardagsskor, tillbehör skor</t>
  </si>
  <si>
    <t>smycken, accessoarer, prydnad, personlig stil, smyckesförvaring</t>
  </si>
  <si>
    <t>strumpor, underkläder, basplagg, komfortkläder, vardagsplagg</t>
  </si>
  <si>
    <t>väskor, förvaring, bärlösningar, vardagsväska, reseförvaring</t>
  </si>
  <si>
    <t>sport, fritid, aktivitet, rörelse, utomhusliv, träning, rekreation</t>
  </si>
  <si>
    <t>fest, firande, kalas, högtider, dekoration, sociala tillfällen</t>
  </si>
  <si>
    <t>friluftsliv, utomhusaktiviteter, beredskap, säkerhet, överlevnad, natur</t>
  </si>
  <si>
    <t>husdjur, djurvård, djurtillbehör, omsorg, sällskapsdjur</t>
  </si>
  <si>
    <t>resa, resetillbehör, resekomfort, organisering, resesäkerhet</t>
  </si>
  <si>
    <t>träningskläder, sportkläder, funktionsplagg, aktiv livsstil</t>
  </si>
  <si>
    <t>träningsutrustning, sportutrustning, motion, styrka, kondition</t>
  </si>
  <si>
    <t>category_tags</t>
  </si>
  <si>
    <t>category_string_L1</t>
  </si>
  <si>
    <t>category_string_L2</t>
  </si>
  <si>
    <t>category_string3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</si>
</sst>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21">
    <dxf>
      <fill>
        <patternFill patternType="solid">
          <fgColor rgb="FFFFFF00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DE52C-8578-43E0-B7A3-1423A9A07CA5}" name="Table1" displayName="Table1" ref="A1:Q478" totalsRowShown="0">
  <autoFilter ref="A1:Q478" xr:uid="{78DDE52C-8578-43E0-B7A3-1423A9A07CA5}"/>
  <sortState xmlns:xlrd2="http://schemas.microsoft.com/office/spreadsheetml/2017/richdata2" ref="A2:Q478">
    <sortCondition sortBy="cellColor" ref="E1:E478" dxfId="0"/>
  </sortState>
  <tableColumns count="17">
    <tableColumn id="1" xr3:uid="{ACADE8EB-B0BA-4E43-ABEA-A117887B4B08}" name="shop_code" dataDxfId="20"/>
    <tableColumn id="2" xr3:uid="{A2E1F66B-24DC-405A-BEFF-977D05A9B1FA}" name="external_key" dataDxfId="19">
      <calculatedColumnFormula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calculatedColumnFormula>
    </tableColumn>
    <tableColumn id="3" xr3:uid="{AE6AC6D3-0A76-4524-A0B5-4CD7DDAE3E3C}" name="Level1" dataDxfId="18"/>
    <tableColumn id="4" xr3:uid="{D24DC44C-0BF5-49D5-891C-AC7D0281FFA3}" name="Level2" dataDxfId="17"/>
    <tableColumn id="5" xr3:uid="{E04F60E9-89E7-4133-8281-F6DAC5C82B2D}" name="Level3" dataDxfId="16"/>
    <tableColumn id="6" xr3:uid="{0A98B70D-B439-4E47-8915-B4DE23CF2171}" name="Level4" dataDxfId="15"/>
    <tableColumn id="7" xr3:uid="{1BFBF58F-FF9A-48BF-AD24-50B4101B2FF0}" name="is_collection" dataDxfId="14"/>
    <tableColumn id="8" xr3:uid="{F6A94FD6-3863-4DC5-A572-9FC57669EF72}" name="sort_order" dataDxfId="13"/>
    <tableColumn id="9" xr3:uid="{B513873C-4269-4203-A3B0-B193C5E72B38}" name="InMenu" dataDxfId="12"/>
    <tableColumn id="10" xr3:uid="{0BDD7E09-F427-4FB6-B33D-A7A7C1431FE1}" name="body_html" dataDxfId="11"/>
    <tableColumn id="11" xr3:uid="{1AF93C19-1B14-44DB-A3A8-8AC76EF737C6}" name="image_src" dataDxfId="10"/>
    <tableColumn id="12" xr3:uid="{292FA709-300D-4698-8A3D-F9904642E1CB}" name="template_suffix" dataDxfId="9"/>
    <tableColumn id="13" xr3:uid="{43F696F7-BE19-4D41-BFC5-9D50ABAB9E04}" name="seo_body_html" dataDxfId="8"/>
    <tableColumn id="17" xr3:uid="{6D587D5A-4B61-459E-887C-846F289D4D6B}" name="category_string_L1" dataDxfId="7">
      <calculatedColumnFormula>Table1[[#This Row],[Level1]]</calculatedColumnFormula>
    </tableColumn>
    <tableColumn id="18" xr3:uid="{F13E4C53-896C-4778-8EF8-EBCD28A1DAD6}" name="category_string_L2" dataDxfId="6">
      <calculatedColumnFormula>Table1[[#This Row],[Level1]]
&amp;IF(Table1[[#This Row],[Level2]]&lt;&gt;""," &gt; "&amp;Table1[[#This Row],[Level2]],"")</calculatedColumnFormula>
    </tableColumn>
    <tableColumn id="14" xr3:uid="{D40B6DEB-2EF9-4F8D-8FC0-AF4D6D6CC729}" name="category_string3" dataDxfId="5">
      <calculatedColumnFormula>Table1[[#This Row],[Level1]]
&amp;IF(Table1[[#This Row],[Level2]]&lt;&gt;""," &gt; "&amp;Table1[[#This Row],[Level2]],"")
&amp;IF(Table1[[#This Row],[Level3]]&lt;&gt;""," &gt; "&amp;Table1[[#This Row],[Level3]],"")</calculatedColumnFormula>
    </tableColumn>
    <tableColumn id="16" xr3:uid="{EFF7A0E1-6A73-4819-AA30-54D3892F7AEE}" name="category_tag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8"/>
  <sheetViews>
    <sheetView tabSelected="1" workbookViewId="0">
      <selection activeCell="B81" sqref="B2:B81"/>
    </sheetView>
  </sheetViews>
  <sheetFormatPr defaultRowHeight="15" x14ac:dyDescent="0.25"/>
  <cols>
    <col min="1" max="1" width="16.140625" customWidth="1"/>
    <col min="2" max="2" width="67.42578125" customWidth="1"/>
    <col min="3" max="3" width="18.7109375" customWidth="1"/>
    <col min="4" max="4" width="20" customWidth="1"/>
    <col min="5" max="5" width="30" customWidth="1"/>
    <col min="6" max="6" width="8" customWidth="1"/>
    <col min="7" max="7" width="7.28515625" customWidth="1"/>
    <col min="8" max="8" width="6.5703125" customWidth="1"/>
    <col min="9" max="9" width="7.140625" customWidth="1"/>
    <col min="10" max="13" width="11.42578125" customWidth="1"/>
    <col min="14" max="14" width="15.42578125" customWidth="1"/>
    <col min="15" max="15" width="27.28515625" customWidth="1"/>
    <col min="16" max="16" width="58.5703125" customWidth="1"/>
    <col min="17" max="17" width="54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11</v>
      </c>
      <c r="K1" t="s">
        <v>9</v>
      </c>
      <c r="L1" t="s">
        <v>10</v>
      </c>
      <c r="M1" t="s">
        <v>12</v>
      </c>
      <c r="N1" t="s">
        <v>963</v>
      </c>
      <c r="O1" t="s">
        <v>964</v>
      </c>
      <c r="P1" t="s">
        <v>965</v>
      </c>
      <c r="Q1" t="s">
        <v>962</v>
      </c>
    </row>
    <row r="2" spans="1:17" x14ac:dyDescent="0.25">
      <c r="A2" s="1" t="s">
        <v>8</v>
      </c>
      <c r="B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</v>
      </c>
      <c r="C2" s="3" t="s">
        <v>80</v>
      </c>
      <c r="D2" s="3" t="s">
        <v>372</v>
      </c>
      <c r="E2" s="3" t="s">
        <v>372</v>
      </c>
      <c r="F2" s="3"/>
      <c r="G2" s="4" t="b">
        <v>1</v>
      </c>
      <c r="H2" s="5"/>
      <c r="I2" s="4" t="b">
        <v>1</v>
      </c>
      <c r="J2" s="5"/>
      <c r="K2" s="5"/>
      <c r="L2" s="5"/>
      <c r="M2" s="5"/>
      <c r="N2" s="2" t="str">
        <f>Table1[[#This Row],[Level1]]</f>
        <v>Fordon</v>
      </c>
      <c r="O2" s="2" t="str">
        <f>Table1[[#This Row],[Level1]]
&amp;IF(Table1[[#This Row],[Level2]]&lt;&gt;""," &gt; "&amp;Table1[[#This Row],[Level2]],"")</f>
        <v>Fordon</v>
      </c>
      <c r="P2" s="2" t="str">
        <f>Table1[[#This Row],[Level1]]
&amp;IF(Table1[[#This Row],[Level2]]&lt;&gt;""," &gt; "&amp;Table1[[#This Row],[Level2]],"")
&amp;IF(Table1[[#This Row],[Level3]]&lt;&gt;""," &gt; "&amp;Table1[[#This Row],[Level3]],"")</f>
        <v>Fordon</v>
      </c>
      <c r="Q2" s="6" t="s">
        <v>889</v>
      </c>
    </row>
    <row r="3" spans="1:17" x14ac:dyDescent="0.25">
      <c r="A3" s="1" t="s">
        <v>8</v>
      </c>
      <c r="B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</v>
      </c>
      <c r="C3" s="3" t="s">
        <v>146</v>
      </c>
      <c r="D3" s="3" t="s">
        <v>372</v>
      </c>
      <c r="E3" s="3" t="s">
        <v>372</v>
      </c>
      <c r="F3" s="3"/>
      <c r="G3" s="4" t="b">
        <v>1</v>
      </c>
      <c r="H3" s="5"/>
      <c r="I3" s="4" t="b">
        <v>1</v>
      </c>
      <c r="J3" s="5"/>
      <c r="K3" s="5"/>
      <c r="L3" s="5"/>
      <c r="M3" s="5"/>
      <c r="N3" s="2" t="str">
        <f>Table1[[#This Row],[Level1]]</f>
        <v>Hem &amp; Trädgård</v>
      </c>
      <c r="O3" s="2" t="str">
        <f>Table1[[#This Row],[Level1]]
&amp;IF(Table1[[#This Row],[Level2]]&lt;&gt;""," &gt; "&amp;Table1[[#This Row],[Level2]],"")</f>
        <v>Hem &amp; Trädgård</v>
      </c>
      <c r="P3" s="2" t="str">
        <f>Table1[[#This Row],[Level1]]
&amp;IF(Table1[[#This Row],[Level2]]&lt;&gt;""," &gt; "&amp;Table1[[#This Row],[Level2]],"")
&amp;IF(Table1[[#This Row],[Level3]]&lt;&gt;""," &gt; "&amp;Table1[[#This Row],[Level3]],"")</f>
        <v>Hem &amp; Trädgård</v>
      </c>
      <c r="Q3" s="6" t="s">
        <v>907</v>
      </c>
    </row>
    <row r="4" spans="1:17" x14ac:dyDescent="0.25">
      <c r="A4" s="1" t="s">
        <v>8</v>
      </c>
      <c r="B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</v>
      </c>
      <c r="C4" s="3" t="s">
        <v>331</v>
      </c>
      <c r="D4" s="3" t="s">
        <v>372</v>
      </c>
      <c r="E4" s="3" t="s">
        <v>372</v>
      </c>
      <c r="F4" s="3"/>
      <c r="G4" s="4" t="b">
        <v>1</v>
      </c>
      <c r="H4" s="5"/>
      <c r="I4" s="4" t="b">
        <v>1</v>
      </c>
      <c r="J4" s="5"/>
      <c r="K4" s="5"/>
      <c r="L4" s="5"/>
      <c r="M4" s="5"/>
      <c r="N4" s="2" t="str">
        <f>Table1[[#This Row],[Level1]]</f>
        <v>Hemelektronik</v>
      </c>
      <c r="O4" s="2" t="str">
        <f>Table1[[#This Row],[Level1]]
&amp;IF(Table1[[#This Row],[Level2]]&lt;&gt;""," &gt; "&amp;Table1[[#This Row],[Level2]],"")</f>
        <v>Hemelektronik</v>
      </c>
      <c r="P4" s="2" t="str">
        <f>Table1[[#This Row],[Level1]]
&amp;IF(Table1[[#This Row],[Level2]]&lt;&gt;""," &gt; "&amp;Table1[[#This Row],[Level2]],"")
&amp;IF(Table1[[#This Row],[Level3]]&lt;&gt;""," &gt; "&amp;Table1[[#This Row],[Level3]],"")</f>
        <v>Hemelektronik</v>
      </c>
      <c r="Q4" s="6" t="s">
        <v>914</v>
      </c>
    </row>
    <row r="5" spans="1:17" x14ac:dyDescent="0.25">
      <c r="A5" s="1" t="s">
        <v>8</v>
      </c>
      <c r="B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</v>
      </c>
      <c r="C5" s="3" t="s">
        <v>145</v>
      </c>
      <c r="D5" s="3" t="s">
        <v>372</v>
      </c>
      <c r="E5" s="3" t="s">
        <v>372</v>
      </c>
      <c r="F5" s="3"/>
      <c r="G5" s="4" t="b">
        <v>1</v>
      </c>
      <c r="H5" s="5"/>
      <c r="I5" s="4" t="b">
        <v>1</v>
      </c>
      <c r="J5" s="5"/>
      <c r="K5" s="5"/>
      <c r="L5" s="5"/>
      <c r="M5" s="5"/>
      <c r="N5" s="2" t="str">
        <f>Table1[[#This Row],[Level1]]</f>
        <v>Heminredning</v>
      </c>
      <c r="O5" s="2" t="str">
        <f>Table1[[#This Row],[Level1]]
&amp;IF(Table1[[#This Row],[Level2]]&lt;&gt;""," &gt; "&amp;Table1[[#This Row],[Level2]],"")</f>
        <v>Heminredning</v>
      </c>
      <c r="P5" s="2" t="str">
        <f>Table1[[#This Row],[Level1]]
&amp;IF(Table1[[#This Row],[Level2]]&lt;&gt;""," &gt; "&amp;Table1[[#This Row],[Level2]],"")
&amp;IF(Table1[[#This Row],[Level3]]&lt;&gt;""," &gt; "&amp;Table1[[#This Row],[Level3]],"")</f>
        <v>Heminredning</v>
      </c>
      <c r="Q5" s="6" t="s">
        <v>922</v>
      </c>
    </row>
    <row r="6" spans="1:17" x14ac:dyDescent="0.25">
      <c r="A6" s="1" t="s">
        <v>8</v>
      </c>
      <c r="B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</v>
      </c>
      <c r="C6" s="3" t="s">
        <v>246</v>
      </c>
      <c r="D6" s="3" t="s">
        <v>372</v>
      </c>
      <c r="E6" s="3" t="s">
        <v>372</v>
      </c>
      <c r="F6" s="3"/>
      <c r="G6" s="4" t="b">
        <v>1</v>
      </c>
      <c r="H6" s="5"/>
      <c r="I6" s="4" t="b">
        <v>1</v>
      </c>
      <c r="J6" s="5"/>
      <c r="K6" s="5"/>
      <c r="L6" s="5"/>
      <c r="M6" s="5"/>
      <c r="N6" s="2" t="str">
        <f>Table1[[#This Row],[Level1]]</f>
        <v>Hobby &amp; Lek</v>
      </c>
      <c r="O6" s="2" t="str">
        <f>Table1[[#This Row],[Level1]]
&amp;IF(Table1[[#This Row],[Level2]]&lt;&gt;""," &gt; "&amp;Table1[[#This Row],[Level2]],"")</f>
        <v>Hobby &amp; Lek</v>
      </c>
      <c r="P6" s="2" t="str">
        <f>Table1[[#This Row],[Level1]]
&amp;IF(Table1[[#This Row],[Level2]]&lt;&gt;""," &gt; "&amp;Table1[[#This Row],[Level2]],"")
&amp;IF(Table1[[#This Row],[Level3]]&lt;&gt;""," &gt; "&amp;Table1[[#This Row],[Level3]],"")</f>
        <v>Hobby &amp; Lek</v>
      </c>
      <c r="Q6" s="6" t="s">
        <v>930</v>
      </c>
    </row>
    <row r="7" spans="1:17" x14ac:dyDescent="0.25">
      <c r="A7" s="1" t="s">
        <v>8</v>
      </c>
      <c r="B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</v>
      </c>
      <c r="C7" s="3" t="s">
        <v>484</v>
      </c>
      <c r="D7" s="3" t="s">
        <v>372</v>
      </c>
      <c r="E7" s="3" t="s">
        <v>372</v>
      </c>
      <c r="F7" s="3"/>
      <c r="G7" s="4" t="b">
        <v>1</v>
      </c>
      <c r="H7" s="5"/>
      <c r="I7" s="4" t="b">
        <v>1</v>
      </c>
      <c r="J7" s="5"/>
      <c r="K7" s="5"/>
      <c r="L7" s="5"/>
      <c r="M7" s="5"/>
      <c r="N7" s="2" t="str">
        <f>Table1[[#This Row],[Level1]]</f>
        <v>Hushåll &amp; Kök</v>
      </c>
      <c r="O7" s="2" t="str">
        <f>Table1[[#This Row],[Level1]]
&amp;IF(Table1[[#This Row],[Level2]]&lt;&gt;""," &gt; "&amp;Table1[[#This Row],[Level2]],"")</f>
        <v>Hushåll &amp; Kök</v>
      </c>
      <c r="P7" s="2" t="str">
        <f>Table1[[#This Row],[Level1]]
&amp;IF(Table1[[#This Row],[Level2]]&lt;&gt;""," &gt; "&amp;Table1[[#This Row],[Level2]],"")
&amp;IF(Table1[[#This Row],[Level3]]&lt;&gt;""," &gt; "&amp;Table1[[#This Row],[Level3]],"")</f>
        <v>Hushåll &amp; Kök</v>
      </c>
      <c r="Q7" s="6" t="s">
        <v>938</v>
      </c>
    </row>
    <row r="8" spans="1:17" x14ac:dyDescent="0.25">
      <c r="A8" s="1" t="s">
        <v>8</v>
      </c>
      <c r="B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</v>
      </c>
      <c r="C8" s="3" t="s">
        <v>288</v>
      </c>
      <c r="D8" s="3" t="s">
        <v>372</v>
      </c>
      <c r="E8" s="3" t="s">
        <v>372</v>
      </c>
      <c r="F8" s="3"/>
      <c r="G8" s="4" t="b">
        <v>1</v>
      </c>
      <c r="H8" s="5"/>
      <c r="I8" s="4" t="b">
        <v>1</v>
      </c>
      <c r="J8" s="5"/>
      <c r="K8" s="5"/>
      <c r="L8" s="5"/>
      <c r="M8" s="5"/>
      <c r="N8" s="2" t="str">
        <f>Table1[[#This Row],[Level1]]</f>
        <v>Mode &amp; Accessoarer</v>
      </c>
      <c r="O8" s="2" t="str">
        <f>Table1[[#This Row],[Level1]]
&amp;IF(Table1[[#This Row],[Level2]]&lt;&gt;""," &gt; "&amp;Table1[[#This Row],[Level2]],"")</f>
        <v>Mode &amp; Accessoarer</v>
      </c>
      <c r="P8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</v>
      </c>
      <c r="Q8" s="6" t="s">
        <v>945</v>
      </c>
    </row>
    <row r="9" spans="1:17" x14ac:dyDescent="0.25">
      <c r="A9" s="1" t="s">
        <v>8</v>
      </c>
      <c r="B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</v>
      </c>
      <c r="C9" s="3" t="s">
        <v>204</v>
      </c>
      <c r="D9" s="3" t="s">
        <v>372</v>
      </c>
      <c r="E9" s="3" t="s">
        <v>372</v>
      </c>
      <c r="F9" s="3"/>
      <c r="G9" s="4" t="b">
        <v>1</v>
      </c>
      <c r="H9" s="5"/>
      <c r="I9" s="4" t="b">
        <v>1</v>
      </c>
      <c r="J9" s="5"/>
      <c r="K9" s="5"/>
      <c r="L9" s="5"/>
      <c r="M9" s="5"/>
      <c r="N9" s="2" t="str">
        <f>Table1[[#This Row],[Level1]]</f>
        <v>Sport &amp; Fritid</v>
      </c>
      <c r="O9" s="2" t="str">
        <f>Table1[[#This Row],[Level1]]
&amp;IF(Table1[[#This Row],[Level2]]&lt;&gt;""," &gt; "&amp;Table1[[#This Row],[Level2]],"")</f>
        <v>Sport &amp; Fritid</v>
      </c>
      <c r="P9" s="2" t="str">
        <f>Table1[[#This Row],[Level1]]
&amp;IF(Table1[[#This Row],[Level2]]&lt;&gt;""," &gt; "&amp;Table1[[#This Row],[Level2]],"")
&amp;IF(Table1[[#This Row],[Level3]]&lt;&gt;""," &gt; "&amp;Table1[[#This Row],[Level3]],"")</f>
        <v>Sport &amp; Fritid</v>
      </c>
      <c r="Q9" s="6" t="s">
        <v>955</v>
      </c>
    </row>
    <row r="10" spans="1:17" x14ac:dyDescent="0.25">
      <c r="A10" s="1" t="s">
        <v>8</v>
      </c>
      <c r="B1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heminredning-badrum</v>
      </c>
      <c r="C10" s="3" t="s">
        <v>145</v>
      </c>
      <c r="D10" s="3" t="s">
        <v>128</v>
      </c>
      <c r="E10" s="3" t="s">
        <v>372</v>
      </c>
      <c r="F10" s="3"/>
      <c r="G10" s="4" t="b">
        <v>1</v>
      </c>
      <c r="H10" s="5"/>
      <c r="I10" s="4" t="b">
        <v>1</v>
      </c>
      <c r="J10" s="5"/>
      <c r="K10" s="5"/>
      <c r="L10" s="5"/>
      <c r="M10" s="5"/>
      <c r="N10" s="2" t="str">
        <f>Table1[[#This Row],[Level1]]</f>
        <v>Heminredning</v>
      </c>
      <c r="O10" s="2" t="str">
        <f>Table1[[#This Row],[Level1]]
&amp;IF(Table1[[#This Row],[Level2]]&lt;&gt;""," &gt; "&amp;Table1[[#This Row],[Level2]],"")</f>
        <v>Heminredning &gt; Badrum</v>
      </c>
      <c r="P10" s="2" t="str">
        <f>Table1[[#This Row],[Level1]]
&amp;IF(Table1[[#This Row],[Level2]]&lt;&gt;""," &gt; "&amp;Table1[[#This Row],[Level2]],"")
&amp;IF(Table1[[#This Row],[Level3]]&lt;&gt;""," &gt; "&amp;Table1[[#This Row],[Level3]],"")</f>
        <v>Heminredning &gt; Badrum</v>
      </c>
      <c r="Q10" s="6" t="s">
        <v>923</v>
      </c>
    </row>
    <row r="11" spans="1:17" x14ac:dyDescent="0.25">
      <c r="A11" s="1" t="s">
        <v>8</v>
      </c>
      <c r="B1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heminredning-barnrum</v>
      </c>
      <c r="C11" s="3" t="s">
        <v>145</v>
      </c>
      <c r="D11" s="3" t="s">
        <v>140</v>
      </c>
      <c r="E11" s="3" t="s">
        <v>372</v>
      </c>
      <c r="F11" s="3"/>
      <c r="G11" s="4" t="b">
        <v>1</v>
      </c>
      <c r="H11" s="5"/>
      <c r="I11" s="4" t="b">
        <v>1</v>
      </c>
      <c r="J11" s="5"/>
      <c r="K11" s="5"/>
      <c r="L11" s="5"/>
      <c r="M11" s="5"/>
      <c r="N11" s="2" t="str">
        <f>Table1[[#This Row],[Level1]]</f>
        <v>Heminredning</v>
      </c>
      <c r="O11" s="2" t="str">
        <f>Table1[[#This Row],[Level1]]
&amp;IF(Table1[[#This Row],[Level2]]&lt;&gt;""," &gt; "&amp;Table1[[#This Row],[Level2]],"")</f>
        <v>Heminredning &gt; Barnrum</v>
      </c>
      <c r="P11" s="2" t="str">
        <f>Table1[[#This Row],[Level1]]
&amp;IF(Table1[[#This Row],[Level2]]&lt;&gt;""," &gt; "&amp;Table1[[#This Row],[Level2]],"")
&amp;IF(Table1[[#This Row],[Level3]]&lt;&gt;""," &gt; "&amp;Table1[[#This Row],[Level3]],"")</f>
        <v>Heminredning &gt; Barnrum</v>
      </c>
      <c r="Q11" s="6" t="s">
        <v>924</v>
      </c>
    </row>
    <row r="12" spans="1:17" x14ac:dyDescent="0.25">
      <c r="A12" s="1" t="s">
        <v>8</v>
      </c>
      <c r="B1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fordon-battillbehor</v>
      </c>
      <c r="C12" s="3" t="s">
        <v>80</v>
      </c>
      <c r="D12" s="3" t="s">
        <v>102</v>
      </c>
      <c r="E12" s="3" t="s">
        <v>372</v>
      </c>
      <c r="F12" s="3"/>
      <c r="G12" s="4" t="b">
        <v>1</v>
      </c>
      <c r="H12" s="5"/>
      <c r="I12" s="4" t="b">
        <v>1</v>
      </c>
      <c r="J12" s="5"/>
      <c r="K12" s="5"/>
      <c r="L12" s="5"/>
      <c r="M12" s="5"/>
      <c r="N12" s="2" t="str">
        <f>Table1[[#This Row],[Level1]]</f>
        <v>Fordon</v>
      </c>
      <c r="O12" s="2" t="str">
        <f>Table1[[#This Row],[Level1]]
&amp;IF(Table1[[#This Row],[Level2]]&lt;&gt;""," &gt; "&amp;Table1[[#This Row],[Level2]],"")</f>
        <v>Fordon &gt; Båttillbehör</v>
      </c>
      <c r="P12" s="2" t="str">
        <f>Table1[[#This Row],[Level1]]
&amp;IF(Table1[[#This Row],[Level2]]&lt;&gt;""," &gt; "&amp;Table1[[#This Row],[Level2]],"")
&amp;IF(Table1[[#This Row],[Level3]]&lt;&gt;""," &gt; "&amp;Table1[[#This Row],[Level3]],"")</f>
        <v>Fordon &gt; Båttillbehör</v>
      </c>
      <c r="Q12" s="6" t="s">
        <v>890</v>
      </c>
    </row>
    <row r="13" spans="1:17" x14ac:dyDescent="0.25">
      <c r="A13" s="1" t="s">
        <v>8</v>
      </c>
      <c r="B1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</v>
      </c>
      <c r="C13" s="3" t="s">
        <v>145</v>
      </c>
      <c r="D13" s="3" t="s">
        <v>104</v>
      </c>
      <c r="E13" s="3" t="s">
        <v>372</v>
      </c>
      <c r="F13" s="3"/>
      <c r="G13" s="4" t="b">
        <v>1</v>
      </c>
      <c r="H13" s="5"/>
      <c r="I13" s="4" t="b">
        <v>1</v>
      </c>
      <c r="J13" s="5"/>
      <c r="K13" s="5"/>
      <c r="L13" s="5"/>
      <c r="M13" s="5"/>
      <c r="N13" s="2" t="str">
        <f>Table1[[#This Row],[Level1]]</f>
        <v>Heminredning</v>
      </c>
      <c r="O13" s="2" t="str">
        <f>Table1[[#This Row],[Level1]]
&amp;IF(Table1[[#This Row],[Level2]]&lt;&gt;""," &gt; "&amp;Table1[[#This Row],[Level2]],"")</f>
        <v>Heminredning &gt; Belysning</v>
      </c>
      <c r="P13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</v>
      </c>
      <c r="Q13" s="6" t="s">
        <v>925</v>
      </c>
    </row>
    <row r="14" spans="1:17" x14ac:dyDescent="0.25">
      <c r="A14" s="1" t="s">
        <v>8</v>
      </c>
      <c r="B14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heminredning-belysning-smart-belysning</v>
      </c>
      <c r="C14" s="3" t="s">
        <v>145</v>
      </c>
      <c r="D14" s="3" t="s">
        <v>104</v>
      </c>
      <c r="E14" s="3" t="s">
        <v>112</v>
      </c>
      <c r="F14" s="3"/>
      <c r="G14" s="4" t="b">
        <v>1</v>
      </c>
      <c r="H14" s="5"/>
      <c r="I14" s="4" t="b">
        <v>1</v>
      </c>
      <c r="J14" s="5"/>
      <c r="K14" s="5"/>
      <c r="L14" s="5"/>
      <c r="M14" s="5"/>
      <c r="N14" s="2" t="str">
        <f>Table1[[#This Row],[Level1]]</f>
        <v>Heminredning</v>
      </c>
      <c r="O14" s="2" t="str">
        <f>Table1[[#This Row],[Level1]]
&amp;IF(Table1[[#This Row],[Level2]]&lt;&gt;""," &gt; "&amp;Table1[[#This Row],[Level2]],"")</f>
        <v>Heminredning &gt; Belysning</v>
      </c>
      <c r="P14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Smart belysning</v>
      </c>
      <c r="Q14" s="6" t="s">
        <v>682</v>
      </c>
    </row>
    <row r="15" spans="1:17" x14ac:dyDescent="0.25">
      <c r="A15" s="1" t="s">
        <v>8</v>
      </c>
      <c r="B1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</v>
      </c>
      <c r="C15" s="3" t="s">
        <v>80</v>
      </c>
      <c r="D15" s="3" t="s">
        <v>84</v>
      </c>
      <c r="E15" s="3" t="s">
        <v>372</v>
      </c>
      <c r="F15" s="3"/>
      <c r="G15" s="4" t="b">
        <v>1</v>
      </c>
      <c r="H15" s="5"/>
      <c r="I15" s="4" t="b">
        <v>1</v>
      </c>
      <c r="J15" s="5"/>
      <c r="K15" s="5"/>
      <c r="L15" s="5"/>
      <c r="M15" s="5"/>
      <c r="N15" s="2" t="str">
        <f>Table1[[#This Row],[Level1]]</f>
        <v>Fordon</v>
      </c>
      <c r="O15" s="2" t="str">
        <f>Table1[[#This Row],[Level1]]
&amp;IF(Table1[[#This Row],[Level2]]&lt;&gt;""," &gt; "&amp;Table1[[#This Row],[Level2]],"")</f>
        <v>Fordon &gt; Bilbelysning</v>
      </c>
      <c r="P15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</v>
      </c>
      <c r="Q15" s="6" t="s">
        <v>891</v>
      </c>
    </row>
    <row r="16" spans="1:17" x14ac:dyDescent="0.25">
      <c r="A16" s="1" t="s">
        <v>8</v>
      </c>
      <c r="B1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fordon-bildiagnostik-och-el</v>
      </c>
      <c r="C16" s="3" t="s">
        <v>80</v>
      </c>
      <c r="D16" s="3" t="s">
        <v>454</v>
      </c>
      <c r="E16" s="3" t="s">
        <v>372</v>
      </c>
      <c r="F16" s="3"/>
      <c r="G16" s="4" t="b">
        <v>1</v>
      </c>
      <c r="H16" s="5"/>
      <c r="I16" s="4" t="b">
        <v>1</v>
      </c>
      <c r="J16" s="5"/>
      <c r="K16" s="5"/>
      <c r="L16" s="5"/>
      <c r="M16" s="5"/>
      <c r="N16" s="2" t="str">
        <f>Table1[[#This Row],[Level1]]</f>
        <v>Fordon</v>
      </c>
      <c r="O16" s="2" t="str">
        <f>Table1[[#This Row],[Level1]]
&amp;IF(Table1[[#This Row],[Level2]]&lt;&gt;""," &gt; "&amp;Table1[[#This Row],[Level2]],"")</f>
        <v>Fordon &gt; Bildiagnostik &amp; el</v>
      </c>
      <c r="P16" s="2" t="str">
        <f>Table1[[#This Row],[Level1]]
&amp;IF(Table1[[#This Row],[Level2]]&lt;&gt;""," &gt; "&amp;Table1[[#This Row],[Level2]],"")
&amp;IF(Table1[[#This Row],[Level3]]&lt;&gt;""," &gt; "&amp;Table1[[#This Row],[Level3]],"")</f>
        <v>Fordon &gt; Bildiagnostik &amp; el</v>
      </c>
      <c r="Q16" s="6" t="s">
        <v>892</v>
      </c>
    </row>
    <row r="17" spans="1:17" x14ac:dyDescent="0.25">
      <c r="A17" s="1" t="s">
        <v>8</v>
      </c>
      <c r="B17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fordon-bildiagnostik-och-el-kablar-och-tillbehor</v>
      </c>
      <c r="C17" s="3" t="s">
        <v>80</v>
      </c>
      <c r="D17" s="3" t="s">
        <v>454</v>
      </c>
      <c r="E17" s="3" t="s">
        <v>386</v>
      </c>
      <c r="F17" s="3"/>
      <c r="G17" s="4" t="b">
        <v>1</v>
      </c>
      <c r="H17" s="5"/>
      <c r="I17" s="4" t="b">
        <v>1</v>
      </c>
      <c r="J17" s="5"/>
      <c r="K17" s="5"/>
      <c r="L17" s="5"/>
      <c r="M17" s="5"/>
      <c r="N17" s="2" t="str">
        <f>Table1[[#This Row],[Level1]]</f>
        <v>Fordon</v>
      </c>
      <c r="O17" s="2" t="str">
        <f>Table1[[#This Row],[Level1]]
&amp;IF(Table1[[#This Row],[Level2]]&lt;&gt;""," &gt; "&amp;Table1[[#This Row],[Level2]],"")</f>
        <v>Fordon &gt; Bildiagnostik &amp; el</v>
      </c>
      <c r="P17" s="2" t="str">
        <f>Table1[[#This Row],[Level1]]
&amp;IF(Table1[[#This Row],[Level2]]&lt;&gt;""," &gt; "&amp;Table1[[#This Row],[Level2]],"")
&amp;IF(Table1[[#This Row],[Level3]]&lt;&gt;""," &gt; "&amp;Table1[[#This Row],[Level3]],"")</f>
        <v>Fordon &gt; Bildiagnostik &amp; el &gt; Kablar &amp; tillbehör</v>
      </c>
      <c r="Q17" s="6" t="s">
        <v>494</v>
      </c>
    </row>
    <row r="18" spans="1:17" x14ac:dyDescent="0.25">
      <c r="A18" s="1" t="s">
        <v>8</v>
      </c>
      <c r="B1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fordon-billjud-och-video</v>
      </c>
      <c r="C18" s="3" t="s">
        <v>80</v>
      </c>
      <c r="D18" s="3" t="s">
        <v>453</v>
      </c>
      <c r="E18" s="3" t="s">
        <v>372</v>
      </c>
      <c r="F18" s="3"/>
      <c r="G18" s="4" t="b">
        <v>1</v>
      </c>
      <c r="H18" s="5"/>
      <c r="I18" s="4" t="b">
        <v>1</v>
      </c>
      <c r="J18" s="5"/>
      <c r="K18" s="5"/>
      <c r="L18" s="5"/>
      <c r="M18" s="5"/>
      <c r="N18" s="2" t="str">
        <f>Table1[[#This Row],[Level1]]</f>
        <v>Fordon</v>
      </c>
      <c r="O18" s="2" t="str">
        <f>Table1[[#This Row],[Level1]]
&amp;IF(Table1[[#This Row],[Level2]]&lt;&gt;""," &gt; "&amp;Table1[[#This Row],[Level2]],"")</f>
        <v>Fordon &gt; Billjud &amp; video</v>
      </c>
      <c r="P18" s="2" t="str">
        <f>Table1[[#This Row],[Level1]]
&amp;IF(Table1[[#This Row],[Level2]]&lt;&gt;""," &gt; "&amp;Table1[[#This Row],[Level2]],"")
&amp;IF(Table1[[#This Row],[Level3]]&lt;&gt;""," &gt; "&amp;Table1[[#This Row],[Level3]],"")</f>
        <v>Fordon &gt; Billjud &amp; video</v>
      </c>
      <c r="Q18" s="6" t="s">
        <v>893</v>
      </c>
    </row>
    <row r="19" spans="1:17" x14ac:dyDescent="0.25">
      <c r="A19" s="1" t="s">
        <v>8</v>
      </c>
      <c r="B19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fordon-billjud-och-video-kablar-och-tillbehor</v>
      </c>
      <c r="C19" s="3" t="s">
        <v>80</v>
      </c>
      <c r="D19" s="3" t="s">
        <v>453</v>
      </c>
      <c r="E19" s="3" t="s">
        <v>386</v>
      </c>
      <c r="F19" s="3"/>
      <c r="G19" s="4" t="b">
        <v>1</v>
      </c>
      <c r="H19" s="5"/>
      <c r="I19" s="4" t="b">
        <v>1</v>
      </c>
      <c r="J19" s="5"/>
      <c r="K19" s="5"/>
      <c r="L19" s="5"/>
      <c r="M19" s="5"/>
      <c r="N19" s="2" t="str">
        <f>Table1[[#This Row],[Level1]]</f>
        <v>Fordon</v>
      </c>
      <c r="O19" s="2" t="str">
        <f>Table1[[#This Row],[Level1]]
&amp;IF(Table1[[#This Row],[Level2]]&lt;&gt;""," &gt; "&amp;Table1[[#This Row],[Level2]],"")</f>
        <v>Fordon &gt; Billjud &amp; video</v>
      </c>
      <c r="P19" s="2" t="str">
        <f>Table1[[#This Row],[Level1]]
&amp;IF(Table1[[#This Row],[Level2]]&lt;&gt;""," &gt; "&amp;Table1[[#This Row],[Level2]],"")
&amp;IF(Table1[[#This Row],[Level3]]&lt;&gt;""," &gt; "&amp;Table1[[#This Row],[Level3]],"")</f>
        <v>Fordon &gt; Billjud &amp; video &gt; Kablar &amp; tillbehör</v>
      </c>
      <c r="Q19" s="6" t="s">
        <v>501</v>
      </c>
    </row>
    <row r="20" spans="1:17" x14ac:dyDescent="0.25">
      <c r="A20" s="1" t="s">
        <v>8</v>
      </c>
      <c r="B2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</v>
      </c>
      <c r="C20" s="3" t="s">
        <v>80</v>
      </c>
      <c r="D20" s="3" t="s">
        <v>88</v>
      </c>
      <c r="E20" s="3" t="s">
        <v>372</v>
      </c>
      <c r="F20" s="3"/>
      <c r="G20" s="4" t="b">
        <v>1</v>
      </c>
      <c r="H20" s="5"/>
      <c r="I20" s="4" t="b">
        <v>1</v>
      </c>
      <c r="J20" s="5"/>
      <c r="K20" s="5"/>
      <c r="L20" s="5"/>
      <c r="M20" s="5"/>
      <c r="N20" s="2" t="str">
        <f>Table1[[#This Row],[Level1]]</f>
        <v>Fordon</v>
      </c>
      <c r="O20" s="2" t="str">
        <f>Table1[[#This Row],[Level1]]
&amp;IF(Table1[[#This Row],[Level2]]&lt;&gt;""," &gt; "&amp;Table1[[#This Row],[Level2]],"")</f>
        <v>Fordon &gt; Biltillbehör</v>
      </c>
      <c r="P20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</v>
      </c>
      <c r="Q20" s="6" t="s">
        <v>894</v>
      </c>
    </row>
    <row r="21" spans="1:17" x14ac:dyDescent="0.25">
      <c r="A21" s="1" t="s">
        <v>8</v>
      </c>
      <c r="B2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</v>
      </c>
      <c r="C21" s="3" t="s">
        <v>80</v>
      </c>
      <c r="D21" s="3" t="s">
        <v>92</v>
      </c>
      <c r="E21" s="3" t="s">
        <v>372</v>
      </c>
      <c r="F21" s="3"/>
      <c r="G21" s="4" t="b">
        <v>1</v>
      </c>
      <c r="H21" s="5"/>
      <c r="I21" s="4" t="b">
        <v>1</v>
      </c>
      <c r="J21" s="5"/>
      <c r="K21" s="5"/>
      <c r="L21" s="5"/>
      <c r="M21" s="5"/>
      <c r="N21" s="2" t="str">
        <f>Table1[[#This Row],[Level1]]</f>
        <v>Fordon</v>
      </c>
      <c r="O21" s="2" t="str">
        <f>Table1[[#This Row],[Level1]]
&amp;IF(Table1[[#This Row],[Level2]]&lt;&gt;""," &gt; "&amp;Table1[[#This Row],[Level2]],"")</f>
        <v>Fordon &gt; Cykeltillbehör</v>
      </c>
      <c r="P21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</v>
      </c>
      <c r="Q21" s="6" t="s">
        <v>895</v>
      </c>
    </row>
    <row r="22" spans="1:17" x14ac:dyDescent="0.25">
      <c r="A22" s="1" t="s">
        <v>8</v>
      </c>
      <c r="B2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</v>
      </c>
      <c r="C22" s="3" t="s">
        <v>331</v>
      </c>
      <c r="D22" s="3" t="s">
        <v>478</v>
      </c>
      <c r="E22" s="3" t="s">
        <v>372</v>
      </c>
      <c r="F22" s="3"/>
      <c r="G22" s="4" t="b">
        <v>1</v>
      </c>
      <c r="H22" s="5"/>
      <c r="I22" s="4" t="b">
        <v>1</v>
      </c>
      <c r="J22" s="5"/>
      <c r="K22" s="5"/>
      <c r="L22" s="5"/>
      <c r="M22" s="5"/>
      <c r="N22" s="2" t="str">
        <f>Table1[[#This Row],[Level1]]</f>
        <v>Hemelektronik</v>
      </c>
      <c r="O22" s="2" t="str">
        <f>Table1[[#This Row],[Level1]]
&amp;IF(Table1[[#This Row],[Level2]]&lt;&gt;""," &gt; "&amp;Table1[[#This Row],[Level2]],"")</f>
        <v>Hemelektronik &gt; Dator- &amp; arbetsplatstillbehör</v>
      </c>
      <c r="P22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</v>
      </c>
      <c r="Q22" s="6" t="s">
        <v>915</v>
      </c>
    </row>
    <row r="23" spans="1:17" x14ac:dyDescent="0.25">
      <c r="A23" s="1" t="s">
        <v>8</v>
      </c>
      <c r="B23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hemelektronik-dator-och-arbetsplatstillbehor-ovriga-tillbehor</v>
      </c>
      <c r="C23" s="3" t="s">
        <v>331</v>
      </c>
      <c r="D23" s="3" t="s">
        <v>478</v>
      </c>
      <c r="E23" s="3" t="s">
        <v>32</v>
      </c>
      <c r="F23" s="3"/>
      <c r="G23" s="4" t="b">
        <v>1</v>
      </c>
      <c r="H23" s="5"/>
      <c r="I23" s="4" t="b">
        <v>1</v>
      </c>
      <c r="J23" s="5"/>
      <c r="K23" s="5"/>
      <c r="L23" s="5"/>
      <c r="M23" s="5"/>
      <c r="N23" s="2" t="str">
        <f>Table1[[#This Row],[Level1]]</f>
        <v>Hemelektronik</v>
      </c>
      <c r="O23" s="2" t="str">
        <f>Table1[[#This Row],[Level1]]
&amp;IF(Table1[[#This Row],[Level2]]&lt;&gt;""," &gt; "&amp;Table1[[#This Row],[Level2]],"")</f>
        <v>Hemelektronik &gt; Dator- &amp; arbetsplatstillbehör</v>
      </c>
      <c r="P23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Övriga tillbehör</v>
      </c>
      <c r="Q23" s="6" t="s">
        <v>618</v>
      </c>
    </row>
    <row r="24" spans="1:17" x14ac:dyDescent="0.25">
      <c r="A24" s="1" t="s">
        <v>8</v>
      </c>
      <c r="B2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heminredning-dekoration</v>
      </c>
      <c r="C24" s="3" t="s">
        <v>145</v>
      </c>
      <c r="D24" s="3" t="s">
        <v>119</v>
      </c>
      <c r="E24" s="3" t="s">
        <v>372</v>
      </c>
      <c r="F24" s="3"/>
      <c r="G24" s="4" t="b">
        <v>1</v>
      </c>
      <c r="H24" s="5"/>
      <c r="I24" s="4" t="b">
        <v>1</v>
      </c>
      <c r="J24" s="5"/>
      <c r="K24" s="5"/>
      <c r="L24" s="5"/>
      <c r="M24" s="5"/>
      <c r="N24" s="2" t="str">
        <f>Table1[[#This Row],[Level1]]</f>
        <v>Heminredning</v>
      </c>
      <c r="O24" s="2" t="str">
        <f>Table1[[#This Row],[Level1]]
&amp;IF(Table1[[#This Row],[Level2]]&lt;&gt;""," &gt; "&amp;Table1[[#This Row],[Level2]],"")</f>
        <v>Heminredning &gt; Dekoration</v>
      </c>
      <c r="P24" s="2" t="str">
        <f>Table1[[#This Row],[Level1]]
&amp;IF(Table1[[#This Row],[Level2]]&lt;&gt;""," &gt; "&amp;Table1[[#This Row],[Level2]],"")
&amp;IF(Table1[[#This Row],[Level3]]&lt;&gt;""," &gt; "&amp;Table1[[#This Row],[Level3]],"")</f>
        <v>Heminredning &gt; Dekoration</v>
      </c>
      <c r="Q24" s="6" t="s">
        <v>926</v>
      </c>
    </row>
    <row r="25" spans="1:17" x14ac:dyDescent="0.25">
      <c r="A25" s="1" t="s">
        <v>8</v>
      </c>
      <c r="B2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hushall-och-kok-dukning-och-servering</v>
      </c>
      <c r="C25" s="3" t="s">
        <v>484</v>
      </c>
      <c r="D25" s="3" t="s">
        <v>33</v>
      </c>
      <c r="E25" s="3" t="s">
        <v>372</v>
      </c>
      <c r="F25" s="3"/>
      <c r="G25" s="4" t="b">
        <v>1</v>
      </c>
      <c r="H25" s="5"/>
      <c r="I25" s="4" t="b">
        <v>1</v>
      </c>
      <c r="J25" s="5"/>
      <c r="K25" s="5"/>
      <c r="L25" s="5"/>
      <c r="M25" s="5"/>
      <c r="N25" s="2" t="str">
        <f>Table1[[#This Row],[Level1]]</f>
        <v>Hushåll &amp; Kök</v>
      </c>
      <c r="O25" s="2" t="str">
        <f>Table1[[#This Row],[Level1]]
&amp;IF(Table1[[#This Row],[Level2]]&lt;&gt;""," &gt; "&amp;Table1[[#This Row],[Level2]],"")</f>
        <v>Hushåll &amp; Kök &gt; Dukning &amp; servering</v>
      </c>
      <c r="P25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Dukning &amp; servering</v>
      </c>
      <c r="Q25" s="6" t="s">
        <v>939</v>
      </c>
    </row>
    <row r="26" spans="1:17" x14ac:dyDescent="0.25">
      <c r="A26" s="1" t="s">
        <v>8</v>
      </c>
      <c r="B2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heminredning-el-och-smart-hem</v>
      </c>
      <c r="C26" s="3" t="s">
        <v>145</v>
      </c>
      <c r="D26" s="3" t="s">
        <v>457</v>
      </c>
      <c r="E26" s="3" t="s">
        <v>372</v>
      </c>
      <c r="F26" s="3"/>
      <c r="G26" s="4" t="b">
        <v>1</v>
      </c>
      <c r="H26" s="5"/>
      <c r="I26" s="4" t="b">
        <v>1</v>
      </c>
      <c r="J26" s="5"/>
      <c r="K26" s="5"/>
      <c r="L26" s="5"/>
      <c r="M26" s="5"/>
      <c r="N26" s="2" t="str">
        <f>Table1[[#This Row],[Level1]]</f>
        <v>Heminredning</v>
      </c>
      <c r="O26" s="2" t="str">
        <f>Table1[[#This Row],[Level1]]
&amp;IF(Table1[[#This Row],[Level2]]&lt;&gt;""," &gt; "&amp;Table1[[#This Row],[Level2]],"")</f>
        <v>Heminredning &gt; El &amp; smart hem</v>
      </c>
      <c r="P26" s="2" t="str">
        <f>Table1[[#This Row],[Level1]]
&amp;IF(Table1[[#This Row],[Level2]]&lt;&gt;""," &gt; "&amp;Table1[[#This Row],[Level2]],"")
&amp;IF(Table1[[#This Row],[Level3]]&lt;&gt;""," &gt; "&amp;Table1[[#This Row],[Level3]],"")</f>
        <v>Heminredning &gt; El &amp; smart hem</v>
      </c>
      <c r="Q26" s="6" t="s">
        <v>927</v>
      </c>
    </row>
    <row r="27" spans="1:17" x14ac:dyDescent="0.25">
      <c r="A27" s="1" t="s">
        <v>8</v>
      </c>
      <c r="B2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fordon-elscootertillbehor</v>
      </c>
      <c r="C27" s="3" t="s">
        <v>80</v>
      </c>
      <c r="D27" s="3" t="s">
        <v>97</v>
      </c>
      <c r="E27" s="3" t="s">
        <v>372</v>
      </c>
      <c r="F27" s="3"/>
      <c r="G27" s="4" t="b">
        <v>1</v>
      </c>
      <c r="H27" s="5"/>
      <c r="I27" s="4" t="b">
        <v>1</v>
      </c>
      <c r="J27" s="5"/>
      <c r="K27" s="5"/>
      <c r="L27" s="5"/>
      <c r="M27" s="5"/>
      <c r="N27" s="2" t="str">
        <f>Table1[[#This Row],[Level1]]</f>
        <v>Fordon</v>
      </c>
      <c r="O27" s="2" t="str">
        <f>Table1[[#This Row],[Level1]]
&amp;IF(Table1[[#This Row],[Level2]]&lt;&gt;""," &gt; "&amp;Table1[[#This Row],[Level2]],"")</f>
        <v>Fordon &gt; Elscootertillbehör</v>
      </c>
      <c r="P27" s="2" t="str">
        <f>Table1[[#This Row],[Level1]]
&amp;IF(Table1[[#This Row],[Level2]]&lt;&gt;""," &gt; "&amp;Table1[[#This Row],[Level2]],"")
&amp;IF(Table1[[#This Row],[Level3]]&lt;&gt;""," &gt; "&amp;Table1[[#This Row],[Level3]],"")</f>
        <v>Fordon &gt; Elscootertillbehör</v>
      </c>
      <c r="Q27" s="6" t="s">
        <v>896</v>
      </c>
    </row>
    <row r="28" spans="1:17" x14ac:dyDescent="0.25">
      <c r="A28" s="1" t="s">
        <v>8</v>
      </c>
      <c r="B2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</v>
      </c>
      <c r="C28" s="3" t="s">
        <v>204</v>
      </c>
      <c r="D28" s="3" t="s">
        <v>236</v>
      </c>
      <c r="E28" s="3" t="s">
        <v>372</v>
      </c>
      <c r="F28" s="3"/>
      <c r="G28" s="4" t="b">
        <v>1</v>
      </c>
      <c r="H28" s="5"/>
      <c r="I28" s="4" t="b">
        <v>1</v>
      </c>
      <c r="J28" s="5"/>
      <c r="K28" s="5"/>
      <c r="L28" s="5"/>
      <c r="M28" s="5"/>
      <c r="N28" s="2" t="str">
        <f>Table1[[#This Row],[Level1]]</f>
        <v>Sport &amp; Fritid</v>
      </c>
      <c r="O28" s="2" t="str">
        <f>Table1[[#This Row],[Level1]]
&amp;IF(Table1[[#This Row],[Level2]]&lt;&gt;""," &gt; "&amp;Table1[[#This Row],[Level2]],"")</f>
        <v>Sport &amp; Fritid &gt; Fest</v>
      </c>
      <c r="P28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</v>
      </c>
      <c r="Q28" s="6" t="s">
        <v>956</v>
      </c>
    </row>
    <row r="29" spans="1:17" x14ac:dyDescent="0.25">
      <c r="A29" s="1" t="s">
        <v>8</v>
      </c>
      <c r="B2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heminredning-forvaring-och-organisation</v>
      </c>
      <c r="C29" s="3" t="s">
        <v>145</v>
      </c>
      <c r="D29" s="3" t="s">
        <v>456</v>
      </c>
      <c r="E29" s="3" t="s">
        <v>372</v>
      </c>
      <c r="F29" s="3"/>
      <c r="G29" s="4" t="b">
        <v>1</v>
      </c>
      <c r="H29" s="5"/>
      <c r="I29" s="4" t="b">
        <v>1</v>
      </c>
      <c r="J29" s="5"/>
      <c r="K29" s="5"/>
      <c r="L29" s="5"/>
      <c r="M29" s="5"/>
      <c r="N29" s="2" t="str">
        <f>Table1[[#This Row],[Level1]]</f>
        <v>Heminredning</v>
      </c>
      <c r="O29" s="2" t="str">
        <f>Table1[[#This Row],[Level1]]
&amp;IF(Table1[[#This Row],[Level2]]&lt;&gt;""," &gt; "&amp;Table1[[#This Row],[Level2]],"")</f>
        <v>Heminredning &gt; Förvaring &amp; organisation</v>
      </c>
      <c r="P29" s="2" t="str">
        <f>Table1[[#This Row],[Level1]]
&amp;IF(Table1[[#This Row],[Level2]]&lt;&gt;""," &gt; "&amp;Table1[[#This Row],[Level2]],"")
&amp;IF(Table1[[#This Row],[Level3]]&lt;&gt;""," &gt; "&amp;Table1[[#This Row],[Level3]],"")</f>
        <v>Heminredning &gt; Förvaring &amp; organisation</v>
      </c>
      <c r="Q29" s="6" t="s">
        <v>928</v>
      </c>
    </row>
    <row r="30" spans="1:17" x14ac:dyDescent="0.25">
      <c r="A30" s="1" t="s">
        <v>8</v>
      </c>
      <c r="B3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</v>
      </c>
      <c r="C30" s="3" t="s">
        <v>331</v>
      </c>
      <c r="D30" s="3" t="s">
        <v>480</v>
      </c>
      <c r="E30" s="3" t="s">
        <v>372</v>
      </c>
      <c r="F30" s="3"/>
      <c r="G30" s="4" t="b">
        <v>1</v>
      </c>
      <c r="H30" s="5"/>
      <c r="I30" s="4" t="b">
        <v>1</v>
      </c>
      <c r="J30" s="5"/>
      <c r="K30" s="5"/>
      <c r="L30" s="5"/>
      <c r="M30" s="5"/>
      <c r="N30" s="2" t="str">
        <f>Table1[[#This Row],[Level1]]</f>
        <v>Hemelektronik</v>
      </c>
      <c r="O30" s="2" t="str">
        <f>Table1[[#This Row],[Level1]]
&amp;IF(Table1[[#This Row],[Level2]]&lt;&gt;""," &gt; "&amp;Table1[[#This Row],[Level2]],"")</f>
        <v>Hemelektronik &gt; Foto, video &amp; övervakning</v>
      </c>
      <c r="P30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</v>
      </c>
      <c r="Q30" s="6" t="s">
        <v>916</v>
      </c>
    </row>
    <row r="31" spans="1:17" x14ac:dyDescent="0.25">
      <c r="A31" s="1" t="s">
        <v>8</v>
      </c>
      <c r="B3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</v>
      </c>
      <c r="C31" s="3" t="s">
        <v>204</v>
      </c>
      <c r="D31" s="3" t="s">
        <v>464</v>
      </c>
      <c r="E31" s="3" t="s">
        <v>372</v>
      </c>
      <c r="F31" s="3"/>
      <c r="G31" s="4" t="b">
        <v>1</v>
      </c>
      <c r="H31" s="5"/>
      <c r="I31" s="4" t="b">
        <v>1</v>
      </c>
      <c r="J31" s="5"/>
      <c r="K31" s="5"/>
      <c r="L31" s="5"/>
      <c r="M31" s="5"/>
      <c r="N31" s="2" t="str">
        <f>Table1[[#This Row],[Level1]]</f>
        <v>Sport &amp; Fritid</v>
      </c>
      <c r="O31" s="2" t="str">
        <f>Table1[[#This Row],[Level1]]
&amp;IF(Table1[[#This Row],[Level2]]&lt;&gt;""," &gt; "&amp;Table1[[#This Row],[Level2]],"")</f>
        <v>Sport &amp; Fritid &gt; Friluftsliv &amp; beredskap</v>
      </c>
      <c r="P31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</v>
      </c>
      <c r="Q31" s="6" t="s">
        <v>957</v>
      </c>
    </row>
    <row r="32" spans="1:17" x14ac:dyDescent="0.25">
      <c r="A32" s="1" t="s">
        <v>8</v>
      </c>
      <c r="B3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mode-och-accessoarer-glasogon</v>
      </c>
      <c r="C32" s="3" t="s">
        <v>288</v>
      </c>
      <c r="D32" s="3" t="s">
        <v>298</v>
      </c>
      <c r="E32" s="3" t="s">
        <v>372</v>
      </c>
      <c r="F32" s="3"/>
      <c r="G32" s="4" t="b">
        <v>1</v>
      </c>
      <c r="H32" s="5"/>
      <c r="I32" s="4" t="b">
        <v>1</v>
      </c>
      <c r="J32" s="5"/>
      <c r="K32" s="5"/>
      <c r="L32" s="5"/>
      <c r="M32" s="5"/>
      <c r="N32" s="2" t="str">
        <f>Table1[[#This Row],[Level1]]</f>
        <v>Mode &amp; Accessoarer</v>
      </c>
      <c r="O32" s="2" t="str">
        <f>Table1[[#This Row],[Level1]]
&amp;IF(Table1[[#This Row],[Level2]]&lt;&gt;""," &gt; "&amp;Table1[[#This Row],[Level2]],"")</f>
        <v>Mode &amp; Accessoarer &gt; Glasögon</v>
      </c>
      <c r="P3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Glasögon</v>
      </c>
      <c r="Q32" s="6" t="s">
        <v>946</v>
      </c>
    </row>
    <row r="33" spans="1:17" x14ac:dyDescent="0.25">
      <c r="A33" s="1" t="s">
        <v>8</v>
      </c>
      <c r="B3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halsa-och-skonhet-har-och-styling</v>
      </c>
      <c r="C33" s="3" t="s">
        <v>14</v>
      </c>
      <c r="D33" s="3" t="s">
        <v>452</v>
      </c>
      <c r="E33" s="3" t="s">
        <v>372</v>
      </c>
      <c r="F33" s="3"/>
      <c r="G33" s="4" t="b">
        <v>1</v>
      </c>
      <c r="H33" s="5"/>
      <c r="I33" s="4" t="b">
        <v>1</v>
      </c>
      <c r="J33" s="5"/>
      <c r="K33" s="5"/>
      <c r="L33" s="5"/>
      <c r="M33" s="5"/>
      <c r="N33" s="2" t="str">
        <f>Table1[[#This Row],[Level1]]</f>
        <v>Hälsa &amp; Skönhet</v>
      </c>
      <c r="O33" s="2" t="str">
        <f>Table1[[#This Row],[Level1]]
&amp;IF(Table1[[#This Row],[Level2]]&lt;&gt;""," &gt; "&amp;Table1[[#This Row],[Level2]],"")</f>
        <v>Hälsa &amp; Skönhet &gt; Hår &amp; styling</v>
      </c>
      <c r="P33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Hår &amp; styling</v>
      </c>
      <c r="Q33" s="6" t="s">
        <v>899</v>
      </c>
    </row>
    <row r="34" spans="1:17" x14ac:dyDescent="0.25">
      <c r="A34" s="1" t="s">
        <v>8</v>
      </c>
      <c r="B3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halsa-och-skonhet-hjalpmedel</v>
      </c>
      <c r="C34" s="3" t="s">
        <v>14</v>
      </c>
      <c r="D34" s="3" t="s">
        <v>74</v>
      </c>
      <c r="E34" s="3" t="s">
        <v>372</v>
      </c>
      <c r="F34" s="3"/>
      <c r="G34" s="4" t="b">
        <v>1</v>
      </c>
      <c r="H34" s="5"/>
      <c r="I34" s="4" t="b">
        <v>1</v>
      </c>
      <c r="J34" s="5"/>
      <c r="K34" s="5"/>
      <c r="L34" s="5"/>
      <c r="M34" s="5"/>
      <c r="N34" s="2" t="str">
        <f>Table1[[#This Row],[Level1]]</f>
        <v>Hälsa &amp; Skönhet</v>
      </c>
      <c r="O34" s="2" t="str">
        <f>Table1[[#This Row],[Level1]]
&amp;IF(Table1[[#This Row],[Level2]]&lt;&gt;""," &gt; "&amp;Table1[[#This Row],[Level2]],"")</f>
        <v>Hälsa &amp; Skönhet &gt; Hjälpmedel</v>
      </c>
      <c r="P34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Hjälpmedel</v>
      </c>
      <c r="Q34" s="6" t="s">
        <v>900</v>
      </c>
    </row>
    <row r="35" spans="1:17" x14ac:dyDescent="0.25">
      <c r="A35" s="1" t="s">
        <v>8</v>
      </c>
      <c r="B3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hemelektronik-horlurar-och-hogtalare</v>
      </c>
      <c r="C35" s="3" t="s">
        <v>331</v>
      </c>
      <c r="D35" s="3" t="s">
        <v>477</v>
      </c>
      <c r="E35" s="3" t="s">
        <v>372</v>
      </c>
      <c r="F35" s="3"/>
      <c r="G35" s="4" t="b">
        <v>1</v>
      </c>
      <c r="H35" s="5"/>
      <c r="I35" s="4" t="b">
        <v>1</v>
      </c>
      <c r="J35" s="5"/>
      <c r="K35" s="5"/>
      <c r="L35" s="5"/>
      <c r="M35" s="5"/>
      <c r="N35" s="2" t="str">
        <f>Table1[[#This Row],[Level1]]</f>
        <v>Hemelektronik</v>
      </c>
      <c r="O35" s="2" t="str">
        <f>Table1[[#This Row],[Level1]]
&amp;IF(Table1[[#This Row],[Level2]]&lt;&gt;""," &gt; "&amp;Table1[[#This Row],[Level2]],"")</f>
        <v>Hemelektronik &gt; Hörlurar &amp; högtalare</v>
      </c>
      <c r="P35" s="2" t="str">
        <f>Table1[[#This Row],[Level1]]
&amp;IF(Table1[[#This Row],[Level2]]&lt;&gt;""," &gt; "&amp;Table1[[#This Row],[Level2]],"")
&amp;IF(Table1[[#This Row],[Level3]]&lt;&gt;""," &gt; "&amp;Table1[[#This Row],[Level3]],"")</f>
        <v>Hemelektronik &gt; Hörlurar &amp; högtalare</v>
      </c>
      <c r="Q35" s="6" t="s">
        <v>917</v>
      </c>
    </row>
    <row r="36" spans="1:17" x14ac:dyDescent="0.25">
      <c r="A36" s="1" t="s">
        <v>8</v>
      </c>
      <c r="B3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sport-och-fritid-husdjur</v>
      </c>
      <c r="C36" s="3" t="s">
        <v>204</v>
      </c>
      <c r="D36" s="3" t="s">
        <v>241</v>
      </c>
      <c r="E36" s="3" t="s">
        <v>372</v>
      </c>
      <c r="F36" s="3"/>
      <c r="G36" s="4" t="b">
        <v>1</v>
      </c>
      <c r="H36" s="5"/>
      <c r="I36" s="4" t="b">
        <v>1</v>
      </c>
      <c r="J36" s="5"/>
      <c r="K36" s="5"/>
      <c r="L36" s="5"/>
      <c r="M36" s="5"/>
      <c r="N36" s="2" t="str">
        <f>Table1[[#This Row],[Level1]]</f>
        <v>Sport &amp; Fritid</v>
      </c>
      <c r="O36" s="2" t="str">
        <f>Table1[[#This Row],[Level1]]
&amp;IF(Table1[[#This Row],[Level2]]&lt;&gt;""," &gt; "&amp;Table1[[#This Row],[Level2]],"")</f>
        <v>Sport &amp; Fritid &gt; Husdjur</v>
      </c>
      <c r="P36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Husdjur</v>
      </c>
      <c r="Q36" s="6" t="s">
        <v>958</v>
      </c>
    </row>
    <row r="37" spans="1:17" x14ac:dyDescent="0.25">
      <c r="A37" s="1" t="s">
        <v>8</v>
      </c>
      <c r="B3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</v>
      </c>
      <c r="C37" s="3" t="s">
        <v>14</v>
      </c>
      <c r="D37" s="3" t="s">
        <v>48</v>
      </c>
      <c r="E37" s="3" t="s">
        <v>372</v>
      </c>
      <c r="F37" s="3"/>
      <c r="G37" s="4" t="b">
        <v>1</v>
      </c>
      <c r="H37" s="5"/>
      <c r="I37" s="4" t="b">
        <v>1</v>
      </c>
      <c r="J37" s="5"/>
      <c r="K37" s="5"/>
      <c r="L37" s="5"/>
      <c r="M37" s="5"/>
      <c r="N37" s="2" t="str">
        <f>Table1[[#This Row],[Level1]]</f>
        <v>Hälsa &amp; Skönhet</v>
      </c>
      <c r="O37" s="2" t="str">
        <f>Table1[[#This Row],[Level1]]
&amp;IF(Table1[[#This Row],[Level2]]&lt;&gt;""," &gt; "&amp;Table1[[#This Row],[Level2]],"")</f>
        <v>Hälsa &amp; Skönhet &gt; Hygien &amp; hälsa</v>
      </c>
      <c r="P37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</v>
      </c>
      <c r="Q37" s="6" t="s">
        <v>901</v>
      </c>
    </row>
    <row r="38" spans="1:17" x14ac:dyDescent="0.25">
      <c r="A38" s="1" t="s">
        <v>8</v>
      </c>
      <c r="B3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heminredning-inredning-och-textil</v>
      </c>
      <c r="C38" s="3" t="s">
        <v>145</v>
      </c>
      <c r="D38" s="3" t="s">
        <v>455</v>
      </c>
      <c r="E38" s="3" t="s">
        <v>372</v>
      </c>
      <c r="F38" s="3"/>
      <c r="G38" s="4" t="b">
        <v>1</v>
      </c>
      <c r="H38" s="5"/>
      <c r="I38" s="4" t="b">
        <v>1</v>
      </c>
      <c r="J38" s="5"/>
      <c r="K38" s="5"/>
      <c r="L38" s="5"/>
      <c r="M38" s="5"/>
      <c r="N38" s="2" t="str">
        <f>Table1[[#This Row],[Level1]]</f>
        <v>Heminredning</v>
      </c>
      <c r="O38" s="2" t="str">
        <f>Table1[[#This Row],[Level1]]
&amp;IF(Table1[[#This Row],[Level2]]&lt;&gt;""," &gt; "&amp;Table1[[#This Row],[Level2]],"")</f>
        <v>Heminredning &gt; Inredning &amp; textil</v>
      </c>
      <c r="P38" s="2" t="str">
        <f>Table1[[#This Row],[Level1]]
&amp;IF(Table1[[#This Row],[Level2]]&lt;&gt;""," &gt; "&amp;Table1[[#This Row],[Level2]],"")
&amp;IF(Table1[[#This Row],[Level3]]&lt;&gt;""," &gt; "&amp;Table1[[#This Row],[Level3]],"")</f>
        <v>Heminredning &gt; Inredning &amp; textil</v>
      </c>
      <c r="Q38" s="6" t="s">
        <v>929</v>
      </c>
    </row>
    <row r="39" spans="1:17" x14ac:dyDescent="0.25">
      <c r="A39" s="1" t="s">
        <v>8</v>
      </c>
      <c r="B3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</v>
      </c>
      <c r="C39" s="3" t="s">
        <v>331</v>
      </c>
      <c r="D39" s="3" t="s">
        <v>479</v>
      </c>
      <c r="E39" s="3" t="s">
        <v>372</v>
      </c>
      <c r="F39" s="3"/>
      <c r="G39" s="4" t="b">
        <v>1</v>
      </c>
      <c r="H39" s="5"/>
      <c r="I39" s="4" t="b">
        <v>1</v>
      </c>
      <c r="J39" s="5"/>
      <c r="K39" s="5"/>
      <c r="L39" s="5"/>
      <c r="M39" s="5"/>
      <c r="N39" s="2" t="str">
        <f>Table1[[#This Row],[Level1]]</f>
        <v>Hemelektronik</v>
      </c>
      <c r="O39" s="2" t="str">
        <f>Table1[[#This Row],[Level1]]
&amp;IF(Table1[[#This Row],[Level2]]&lt;&gt;""," &gt; "&amp;Table1[[#This Row],[Level2]],"")</f>
        <v>Hemelektronik &gt; Kablar, adaptrar &amp; anslutning</v>
      </c>
      <c r="P39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</v>
      </c>
      <c r="Q39" s="6" t="s">
        <v>918</v>
      </c>
    </row>
    <row r="40" spans="1:17" x14ac:dyDescent="0.25">
      <c r="A40" s="1" t="s">
        <v>8</v>
      </c>
      <c r="B4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mode-och-accessoarer-klader-och-accessoarer</v>
      </c>
      <c r="C40" s="3" t="s">
        <v>288</v>
      </c>
      <c r="D40" s="3" t="s">
        <v>475</v>
      </c>
      <c r="E40" s="3" t="s">
        <v>372</v>
      </c>
      <c r="F40" s="3"/>
      <c r="G40" s="4" t="b">
        <v>1</v>
      </c>
      <c r="H40" s="5"/>
      <c r="I40" s="4" t="b">
        <v>1</v>
      </c>
      <c r="J40" s="5"/>
      <c r="K40" s="5"/>
      <c r="L40" s="5"/>
      <c r="M40" s="5"/>
      <c r="N40" s="2" t="str">
        <f>Table1[[#This Row],[Level1]]</f>
        <v>Mode &amp; Accessoarer</v>
      </c>
      <c r="O40" s="2" t="str">
        <f>Table1[[#This Row],[Level1]]
&amp;IF(Table1[[#This Row],[Level2]]&lt;&gt;""," &gt; "&amp;Table1[[#This Row],[Level2]],"")</f>
        <v>Mode &amp; Accessoarer &gt; Kläder &amp; accessoarer</v>
      </c>
      <c r="P40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Kläder &amp; accessoarer</v>
      </c>
      <c r="Q40" s="6" t="s">
        <v>947</v>
      </c>
    </row>
    <row r="41" spans="1:17" x14ac:dyDescent="0.25">
      <c r="A41" s="1" t="s">
        <v>8</v>
      </c>
      <c r="B4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hushall-och-kok-klimat-och-inomhusmiljo</v>
      </c>
      <c r="C41" s="3" t="s">
        <v>484</v>
      </c>
      <c r="D41" s="3" t="s">
        <v>463</v>
      </c>
      <c r="E41" s="3" t="s">
        <v>372</v>
      </c>
      <c r="F41" s="3"/>
      <c r="G41" s="4" t="b">
        <v>1</v>
      </c>
      <c r="H41" s="5"/>
      <c r="I41" s="4" t="b">
        <v>1</v>
      </c>
      <c r="J41" s="5"/>
      <c r="K41" s="5"/>
      <c r="L41" s="5"/>
      <c r="M41" s="5"/>
      <c r="N41" s="2" t="str">
        <f>Table1[[#This Row],[Level1]]</f>
        <v>Hushåll &amp; Kök</v>
      </c>
      <c r="O41" s="2" t="str">
        <f>Table1[[#This Row],[Level1]]
&amp;IF(Table1[[#This Row],[Level2]]&lt;&gt;""," &gt; "&amp;Table1[[#This Row],[Level2]],"")</f>
        <v>Hushåll &amp; Kök &gt; Klimat &amp; inomhusmiljö</v>
      </c>
      <c r="P41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Klimat &amp; inomhusmiljö</v>
      </c>
      <c r="Q41" s="6" t="s">
        <v>940</v>
      </c>
    </row>
    <row r="42" spans="1:17" x14ac:dyDescent="0.25">
      <c r="A42" s="1" t="s">
        <v>8</v>
      </c>
      <c r="B4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</v>
      </c>
      <c r="C42" s="3" t="s">
        <v>288</v>
      </c>
      <c r="D42" s="3" t="s">
        <v>476</v>
      </c>
      <c r="E42" s="3" t="s">
        <v>372</v>
      </c>
      <c r="F42" s="3"/>
      <c r="G42" s="4" t="b">
        <v>1</v>
      </c>
      <c r="H42" s="5"/>
      <c r="I42" s="4" t="b">
        <v>1</v>
      </c>
      <c r="J42" s="5"/>
      <c r="K42" s="5"/>
      <c r="L42" s="5"/>
      <c r="M42" s="5"/>
      <c r="N42" s="2" t="str">
        <f>Table1[[#This Row],[Level1]]</f>
        <v>Mode &amp; Accessoarer</v>
      </c>
      <c r="O42" s="2" t="str">
        <f>Table1[[#This Row],[Level1]]
&amp;IF(Table1[[#This Row],[Level2]]&lt;&gt;""," &gt; "&amp;Table1[[#This Row],[Level2]],"")</f>
        <v>Mode &amp; Accessoarer &gt; Klockor &amp; smartklockor</v>
      </c>
      <c r="P4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</v>
      </c>
      <c r="Q42" s="6" t="s">
        <v>948</v>
      </c>
    </row>
    <row r="43" spans="1:17" x14ac:dyDescent="0.25">
      <c r="A43" s="1" t="s">
        <v>8</v>
      </c>
      <c r="B43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mode-och-accessoarer-klockor-och-smartklockor-laddare-och-kablar</v>
      </c>
      <c r="C43" s="3" t="s">
        <v>288</v>
      </c>
      <c r="D43" s="3" t="s">
        <v>476</v>
      </c>
      <c r="E43" s="3" t="s">
        <v>328</v>
      </c>
      <c r="F43" s="3"/>
      <c r="G43" s="4" t="b">
        <v>1</v>
      </c>
      <c r="H43" s="5"/>
      <c r="I43" s="4" t="b">
        <v>1</v>
      </c>
      <c r="J43" s="5"/>
      <c r="K43" s="5"/>
      <c r="L43" s="5"/>
      <c r="M43" s="5"/>
      <c r="N43" s="2" t="str">
        <f>Table1[[#This Row],[Level1]]</f>
        <v>Mode &amp; Accessoarer</v>
      </c>
      <c r="O43" s="2" t="str">
        <f>Table1[[#This Row],[Level1]]
&amp;IF(Table1[[#This Row],[Level2]]&lt;&gt;""," &gt; "&amp;Table1[[#This Row],[Level2]],"")</f>
        <v>Mode &amp; Accessoarer &gt; Klockor &amp; smartklockor</v>
      </c>
      <c r="P43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Laddare &amp; kablar</v>
      </c>
      <c r="Q43" s="6" t="s">
        <v>809</v>
      </c>
    </row>
    <row r="44" spans="1:17" x14ac:dyDescent="0.25">
      <c r="A44" s="1" t="s">
        <v>8</v>
      </c>
      <c r="B4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hushall-och-kok-koksredskap</v>
      </c>
      <c r="C44" s="3" t="s">
        <v>484</v>
      </c>
      <c r="D44" s="3" t="s">
        <v>20</v>
      </c>
      <c r="E44" s="3" t="s">
        <v>372</v>
      </c>
      <c r="F44" s="3"/>
      <c r="G44" s="4" t="b">
        <v>1</v>
      </c>
      <c r="H44" s="5"/>
      <c r="I44" s="4" t="b">
        <v>1</v>
      </c>
      <c r="J44" s="5"/>
      <c r="K44" s="5"/>
      <c r="L44" s="5"/>
      <c r="M44" s="5"/>
      <c r="N44" s="2" t="str">
        <f>Table1[[#This Row],[Level1]]</f>
        <v>Hushåll &amp; Kök</v>
      </c>
      <c r="O44" s="2" t="str">
        <f>Table1[[#This Row],[Level1]]
&amp;IF(Table1[[#This Row],[Level2]]&lt;&gt;""," &gt; "&amp;Table1[[#This Row],[Level2]],"")</f>
        <v>Hushåll &amp; Kök &gt; Köksredskap</v>
      </c>
      <c r="P44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Köksredskap</v>
      </c>
      <c r="Q44" s="6" t="s">
        <v>941</v>
      </c>
    </row>
    <row r="45" spans="1:17" x14ac:dyDescent="0.25">
      <c r="A45" s="1" t="s">
        <v>8</v>
      </c>
      <c r="B4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</v>
      </c>
      <c r="C45" s="3" t="s">
        <v>484</v>
      </c>
      <c r="D45" s="3" t="s">
        <v>462</v>
      </c>
      <c r="E45" s="3" t="s">
        <v>372</v>
      </c>
      <c r="F45" s="3"/>
      <c r="G45" s="4" t="b">
        <v>1</v>
      </c>
      <c r="H45" s="5"/>
      <c r="I45" s="4" t="b">
        <v>1</v>
      </c>
      <c r="J45" s="5"/>
      <c r="K45" s="5"/>
      <c r="L45" s="5"/>
      <c r="M45" s="5"/>
      <c r="N45" s="2" t="str">
        <f>Table1[[#This Row],[Level1]]</f>
        <v>Hushåll &amp; Kök</v>
      </c>
      <c r="O45" s="2" t="str">
        <f>Table1[[#This Row],[Level1]]
&amp;IF(Table1[[#This Row],[Level2]]&lt;&gt;""," &gt; "&amp;Table1[[#This Row],[Level2]],"")</f>
        <v>Hushåll &amp; Kök &gt; Kökstillbehör &amp; bak</v>
      </c>
      <c r="P45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</v>
      </c>
      <c r="Q45" s="6" t="s">
        <v>942</v>
      </c>
    </row>
    <row r="46" spans="1:17" x14ac:dyDescent="0.25">
      <c r="A46" s="1" t="s">
        <v>8</v>
      </c>
      <c r="B4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</v>
      </c>
      <c r="C46" s="3" t="s">
        <v>484</v>
      </c>
      <c r="D46" s="3" t="s">
        <v>22</v>
      </c>
      <c r="E46" s="3" t="s">
        <v>372</v>
      </c>
      <c r="F46" s="3"/>
      <c r="G46" s="4" t="b">
        <v>1</v>
      </c>
      <c r="H46" s="5"/>
      <c r="I46" s="4" t="b">
        <v>1</v>
      </c>
      <c r="J46" s="5"/>
      <c r="K46" s="5"/>
      <c r="L46" s="5"/>
      <c r="M46" s="5"/>
      <c r="N46" s="2" t="str">
        <f>Table1[[#This Row],[Level1]]</f>
        <v>Hushåll &amp; Kök</v>
      </c>
      <c r="O46" s="2" t="str">
        <f>Table1[[#This Row],[Level1]]
&amp;IF(Table1[[#This Row],[Level2]]&lt;&gt;""," &gt; "&amp;Table1[[#This Row],[Level2]],"")</f>
        <v>Hushåll &amp; Kök &gt; Köksutrustning</v>
      </c>
      <c r="P46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</v>
      </c>
      <c r="Q46" s="6" t="s">
        <v>943</v>
      </c>
    </row>
    <row r="47" spans="1:17" x14ac:dyDescent="0.25">
      <c r="A47" s="1" t="s">
        <v>8</v>
      </c>
      <c r="B4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</v>
      </c>
      <c r="C47" s="3" t="s">
        <v>146</v>
      </c>
      <c r="D47" s="3" t="s">
        <v>458</v>
      </c>
      <c r="E47" s="3" t="s">
        <v>372</v>
      </c>
      <c r="F47" s="3"/>
      <c r="G47" s="4" t="b">
        <v>1</v>
      </c>
      <c r="H47" s="5"/>
      <c r="I47" s="4" t="b">
        <v>1</v>
      </c>
      <c r="J47" s="5"/>
      <c r="K47" s="5"/>
      <c r="L47" s="5"/>
      <c r="M47" s="5"/>
      <c r="N47" s="2" t="str">
        <f>Table1[[#This Row],[Level1]]</f>
        <v>Hem &amp; Trädgård</v>
      </c>
      <c r="O47" s="2" t="str">
        <f>Table1[[#This Row],[Level1]]
&amp;IF(Table1[[#This Row],[Level2]]&lt;&gt;""," &gt; "&amp;Table1[[#This Row],[Level2]],"")</f>
        <v>Hem &amp; Trädgård &gt; Larm &amp; säkerhet</v>
      </c>
      <c r="P47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</v>
      </c>
      <c r="Q47" s="6" t="s">
        <v>908</v>
      </c>
    </row>
    <row r="48" spans="1:17" x14ac:dyDescent="0.25">
      <c r="A48" s="1" t="s">
        <v>8</v>
      </c>
      <c r="B4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</v>
      </c>
      <c r="C48" s="3" t="s">
        <v>246</v>
      </c>
      <c r="D48" s="3" t="s">
        <v>465</v>
      </c>
      <c r="E48" s="3" t="s">
        <v>372</v>
      </c>
      <c r="F48" s="3"/>
      <c r="G48" s="4" t="b">
        <v>1</v>
      </c>
      <c r="H48" s="5"/>
      <c r="I48" s="4" t="b">
        <v>1</v>
      </c>
      <c r="J48" s="5"/>
      <c r="K48" s="5"/>
      <c r="L48" s="5"/>
      <c r="M48" s="5"/>
      <c r="N48" s="2" t="str">
        <f>Table1[[#This Row],[Level1]]</f>
        <v>Hobby &amp; Lek</v>
      </c>
      <c r="O48" s="2" t="str">
        <f>Table1[[#This Row],[Level1]]
&amp;IF(Table1[[#This Row],[Level2]]&lt;&gt;""," &gt; "&amp;Table1[[#This Row],[Level2]],"")</f>
        <v>Hobby &amp; Lek &gt; Leksaker &amp; spel</v>
      </c>
      <c r="P48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</v>
      </c>
      <c r="Q48" s="6" t="s">
        <v>931</v>
      </c>
    </row>
    <row r="49" spans="1:17" x14ac:dyDescent="0.25">
      <c r="A49" s="1" t="s">
        <v>8</v>
      </c>
      <c r="B4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halsa-och-skonhet-massage-och-avslappning</v>
      </c>
      <c r="C49" s="3" t="s">
        <v>14</v>
      </c>
      <c r="D49" s="3" t="s">
        <v>451</v>
      </c>
      <c r="E49" s="3" t="s">
        <v>372</v>
      </c>
      <c r="F49" s="3"/>
      <c r="G49" s="4" t="b">
        <v>1</v>
      </c>
      <c r="H49" s="5"/>
      <c r="I49" s="4" t="b">
        <v>1</v>
      </c>
      <c r="J49" s="5"/>
      <c r="K49" s="5"/>
      <c r="L49" s="5"/>
      <c r="M49" s="5"/>
      <c r="N49" s="2" t="str">
        <f>Table1[[#This Row],[Level1]]</f>
        <v>Hälsa &amp; Skönhet</v>
      </c>
      <c r="O49" s="2" t="str">
        <f>Table1[[#This Row],[Level1]]
&amp;IF(Table1[[#This Row],[Level2]]&lt;&gt;""," &gt; "&amp;Table1[[#This Row],[Level2]],"")</f>
        <v>Hälsa &amp; Skönhet &gt; Massage &amp; avslappning</v>
      </c>
      <c r="P4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Massage &amp; avslappning</v>
      </c>
      <c r="Q49" s="6" t="s">
        <v>902</v>
      </c>
    </row>
    <row r="50" spans="1:17" x14ac:dyDescent="0.25">
      <c r="A50" s="1" t="s">
        <v>8</v>
      </c>
      <c r="B5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mode-och-accessoarer-mossor-vantar-och-halsdukar</v>
      </c>
      <c r="C50" s="3" t="s">
        <v>288</v>
      </c>
      <c r="D50" s="3" t="s">
        <v>474</v>
      </c>
      <c r="E50" s="3" t="s">
        <v>372</v>
      </c>
      <c r="F50" s="3"/>
      <c r="G50" s="4" t="b">
        <v>1</v>
      </c>
      <c r="H50" s="5"/>
      <c r="I50" s="4" t="b">
        <v>1</v>
      </c>
      <c r="J50" s="5"/>
      <c r="K50" s="5"/>
      <c r="L50" s="5"/>
      <c r="M50" s="5"/>
      <c r="N50" s="2" t="str">
        <f>Table1[[#This Row],[Level1]]</f>
        <v>Mode &amp; Accessoarer</v>
      </c>
      <c r="O50" s="2" t="str">
        <f>Table1[[#This Row],[Level1]]
&amp;IF(Table1[[#This Row],[Level2]]&lt;&gt;""," &gt; "&amp;Table1[[#This Row],[Level2]],"")</f>
        <v>Mode &amp; Accessoarer &gt; Mössor, vantar &amp; halsdukar</v>
      </c>
      <c r="P50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Mössor, vantar &amp; halsdukar</v>
      </c>
      <c r="Q50" s="6" t="s">
        <v>949</v>
      </c>
    </row>
    <row r="51" spans="1:17" x14ac:dyDescent="0.25">
      <c r="A51" s="1" t="s">
        <v>8</v>
      </c>
      <c r="B5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fordon-motorcykeltillbehor</v>
      </c>
      <c r="C51" s="3" t="s">
        <v>80</v>
      </c>
      <c r="D51" s="3" t="s">
        <v>100</v>
      </c>
      <c r="E51" s="3" t="s">
        <v>372</v>
      </c>
      <c r="F51" s="3"/>
      <c r="G51" s="4" t="b">
        <v>1</v>
      </c>
      <c r="H51" s="5"/>
      <c r="I51" s="4" t="b">
        <v>1</v>
      </c>
      <c r="J51" s="5"/>
      <c r="K51" s="5"/>
      <c r="L51" s="5"/>
      <c r="M51" s="5"/>
      <c r="N51" s="2" t="str">
        <f>Table1[[#This Row],[Level1]]</f>
        <v>Fordon</v>
      </c>
      <c r="O51" s="2" t="str">
        <f>Table1[[#This Row],[Level1]]
&amp;IF(Table1[[#This Row],[Level2]]&lt;&gt;""," &gt; "&amp;Table1[[#This Row],[Level2]],"")</f>
        <v>Fordon &gt; Motorcykeltillbehör</v>
      </c>
      <c r="P51" s="2" t="str">
        <f>Table1[[#This Row],[Level1]]
&amp;IF(Table1[[#This Row],[Level2]]&lt;&gt;""," &gt; "&amp;Table1[[#This Row],[Level2]],"")
&amp;IF(Table1[[#This Row],[Level3]]&lt;&gt;""," &gt; "&amp;Table1[[#This Row],[Level3]],"")</f>
        <v>Fordon &gt; Motorcykeltillbehör</v>
      </c>
      <c r="Q51" s="6" t="s">
        <v>897</v>
      </c>
    </row>
    <row r="52" spans="1:17" x14ac:dyDescent="0.25">
      <c r="A52" s="1" t="s">
        <v>8</v>
      </c>
      <c r="B5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halsa-och-skonhet-munhygien</v>
      </c>
      <c r="C52" s="3" t="s">
        <v>14</v>
      </c>
      <c r="D52" s="3" t="s">
        <v>42</v>
      </c>
      <c r="E52" s="3" t="s">
        <v>372</v>
      </c>
      <c r="F52" s="3"/>
      <c r="G52" s="4" t="b">
        <v>1</v>
      </c>
      <c r="H52" s="5"/>
      <c r="I52" s="4" t="b">
        <v>1</v>
      </c>
      <c r="J52" s="5"/>
      <c r="K52" s="5"/>
      <c r="L52" s="5"/>
      <c r="M52" s="5"/>
      <c r="N52" s="2" t="str">
        <f>Table1[[#This Row],[Level1]]</f>
        <v>Hälsa &amp; Skönhet</v>
      </c>
      <c r="O52" s="2" t="str">
        <f>Table1[[#This Row],[Level1]]
&amp;IF(Table1[[#This Row],[Level2]]&lt;&gt;""," &gt; "&amp;Table1[[#This Row],[Level2]],"")</f>
        <v>Hälsa &amp; Skönhet &gt; Munhygien</v>
      </c>
      <c r="P52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Munhygien</v>
      </c>
      <c r="Q52" s="6" t="s">
        <v>903</v>
      </c>
    </row>
    <row r="53" spans="1:17" x14ac:dyDescent="0.25">
      <c r="A53" s="1" t="s">
        <v>8</v>
      </c>
      <c r="B5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hobby-och-lek-musik-och-sang</v>
      </c>
      <c r="C53" s="3" t="s">
        <v>246</v>
      </c>
      <c r="D53" s="3" t="s">
        <v>468</v>
      </c>
      <c r="E53" s="3" t="s">
        <v>372</v>
      </c>
      <c r="F53" s="3"/>
      <c r="G53" s="4" t="b">
        <v>1</v>
      </c>
      <c r="H53" s="5"/>
      <c r="I53" s="4" t="b">
        <v>1</v>
      </c>
      <c r="J53" s="5"/>
      <c r="K53" s="5"/>
      <c r="L53" s="5"/>
      <c r="M53" s="5"/>
      <c r="N53" s="2" t="str">
        <f>Table1[[#This Row],[Level1]]</f>
        <v>Hobby &amp; Lek</v>
      </c>
      <c r="O53" s="2" t="str">
        <f>Table1[[#This Row],[Level1]]
&amp;IF(Table1[[#This Row],[Level2]]&lt;&gt;""," &gt; "&amp;Table1[[#This Row],[Level2]],"")</f>
        <v>Hobby &amp; Lek &gt; Musik &amp; sång</v>
      </c>
      <c r="P53" s="2" t="str">
        <f>Table1[[#This Row],[Level1]]
&amp;IF(Table1[[#This Row],[Level2]]&lt;&gt;""," &gt; "&amp;Table1[[#This Row],[Level2]],"")
&amp;IF(Table1[[#This Row],[Level3]]&lt;&gt;""," &gt; "&amp;Table1[[#This Row],[Level3]],"")</f>
        <v>Hobby &amp; Lek &gt; Musik &amp; sång</v>
      </c>
      <c r="Q53" s="6" t="s">
        <v>932</v>
      </c>
    </row>
    <row r="54" spans="1:17" x14ac:dyDescent="0.25">
      <c r="A54" s="1" t="s">
        <v>8</v>
      </c>
      <c r="B5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</v>
      </c>
      <c r="C54" s="3" t="s">
        <v>146</v>
      </c>
      <c r="D54" s="3" t="s">
        <v>460</v>
      </c>
      <c r="E54" s="3" t="s">
        <v>372</v>
      </c>
      <c r="F54" s="3"/>
      <c r="G54" s="4" t="b">
        <v>1</v>
      </c>
      <c r="H54" s="5"/>
      <c r="I54" s="4" t="b">
        <v>1</v>
      </c>
      <c r="J54" s="5"/>
      <c r="K54" s="5"/>
      <c r="L54" s="5"/>
      <c r="M54" s="5"/>
      <c r="N54" s="2" t="str">
        <f>Table1[[#This Row],[Level1]]</f>
        <v>Hem &amp; Trädgård</v>
      </c>
      <c r="O54" s="2" t="str">
        <f>Table1[[#This Row],[Level1]]
&amp;IF(Table1[[#This Row],[Level2]]&lt;&gt;""," &gt; "&amp;Table1[[#This Row],[Level2]],"")</f>
        <v>Hem &amp; Trädgård &gt; Odling &amp; trädgård</v>
      </c>
      <c r="P54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</v>
      </c>
      <c r="Q54" s="6" t="s">
        <v>909</v>
      </c>
    </row>
    <row r="55" spans="1:17" x14ac:dyDescent="0.25">
      <c r="A55" s="1" t="s">
        <v>8</v>
      </c>
      <c r="B5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mode-och-accessoarer-planbocker-och-korthallare</v>
      </c>
      <c r="C55" s="3" t="s">
        <v>288</v>
      </c>
      <c r="D55" s="3" t="s">
        <v>473</v>
      </c>
      <c r="E55" s="3" t="s">
        <v>372</v>
      </c>
      <c r="F55" s="3"/>
      <c r="G55" s="4" t="b">
        <v>1</v>
      </c>
      <c r="H55" s="5"/>
      <c r="I55" s="4" t="b">
        <v>1</v>
      </c>
      <c r="J55" s="5"/>
      <c r="K55" s="5"/>
      <c r="L55" s="5"/>
      <c r="M55" s="5"/>
      <c r="N55" s="2" t="str">
        <f>Table1[[#This Row],[Level1]]</f>
        <v>Mode &amp; Accessoarer</v>
      </c>
      <c r="O55" s="2" t="str">
        <f>Table1[[#This Row],[Level1]]
&amp;IF(Table1[[#This Row],[Level2]]&lt;&gt;""," &gt; "&amp;Table1[[#This Row],[Level2]],"")</f>
        <v>Mode &amp; Accessoarer &gt; Plånböcker &amp; korthållare</v>
      </c>
      <c r="P5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Plånböcker &amp; korthållare</v>
      </c>
      <c r="Q55" s="6" t="s">
        <v>950</v>
      </c>
    </row>
    <row r="56" spans="1:17" x14ac:dyDescent="0.25">
      <c r="A56" s="1" t="s">
        <v>8</v>
      </c>
      <c r="B5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</v>
      </c>
      <c r="C56" s="3" t="s">
        <v>246</v>
      </c>
      <c r="D56" s="3" t="s">
        <v>281</v>
      </c>
      <c r="E56" s="3" t="s">
        <v>372</v>
      </c>
      <c r="F56" s="3"/>
      <c r="G56" s="4" t="b">
        <v>1</v>
      </c>
      <c r="H56" s="5"/>
      <c r="I56" s="4" t="b">
        <v>1</v>
      </c>
      <c r="J56" s="5"/>
      <c r="K56" s="5"/>
      <c r="L56" s="5"/>
      <c r="M56" s="5"/>
      <c r="N56" s="2" t="str">
        <f>Table1[[#This Row],[Level1]]</f>
        <v>Hobby &amp; Lek</v>
      </c>
      <c r="O56" s="2" t="str">
        <f>Table1[[#This Row],[Level1]]
&amp;IF(Table1[[#This Row],[Level2]]&lt;&gt;""," &gt; "&amp;Table1[[#This Row],[Level2]],"")</f>
        <v>Hobby &amp; Lek &gt; Presentidéer</v>
      </c>
      <c r="P56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</v>
      </c>
      <c r="Q56" s="6" t="s">
        <v>933</v>
      </c>
    </row>
    <row r="57" spans="1:17" x14ac:dyDescent="0.25">
      <c r="A57" s="1" t="s">
        <v>8</v>
      </c>
      <c r="B5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hobby-och-lek-pyssel-och-kreativitet</v>
      </c>
      <c r="C57" s="3" t="s">
        <v>246</v>
      </c>
      <c r="D57" s="3" t="s">
        <v>466</v>
      </c>
      <c r="E57" s="3" t="s">
        <v>372</v>
      </c>
      <c r="F57" s="3"/>
      <c r="G57" s="4" t="b">
        <v>1</v>
      </c>
      <c r="H57" s="5"/>
      <c r="I57" s="4" t="b">
        <v>1</v>
      </c>
      <c r="J57" s="5"/>
      <c r="K57" s="5"/>
      <c r="L57" s="5"/>
      <c r="M57" s="5"/>
      <c r="N57" s="2" t="str">
        <f>Table1[[#This Row],[Level1]]</f>
        <v>Hobby &amp; Lek</v>
      </c>
      <c r="O57" s="2" t="str">
        <f>Table1[[#This Row],[Level1]]
&amp;IF(Table1[[#This Row],[Level2]]&lt;&gt;""," &gt; "&amp;Table1[[#This Row],[Level2]],"")</f>
        <v>Hobby &amp; Lek &gt; Pyssel &amp; kreativitet</v>
      </c>
      <c r="P57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Pyssel &amp; kreativitet</v>
      </c>
      <c r="Q57" s="6" t="s">
        <v>934</v>
      </c>
    </row>
    <row r="58" spans="1:17" x14ac:dyDescent="0.25">
      <c r="A58" s="1" t="s">
        <v>8</v>
      </c>
      <c r="B5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</v>
      </c>
      <c r="C58" s="3" t="s">
        <v>246</v>
      </c>
      <c r="D58" s="3" t="s">
        <v>272</v>
      </c>
      <c r="E58" s="3" t="s">
        <v>372</v>
      </c>
      <c r="F58" s="3"/>
      <c r="G58" s="4" t="b">
        <v>1</v>
      </c>
      <c r="H58" s="5"/>
      <c r="I58" s="4" t="b">
        <v>1</v>
      </c>
      <c r="J58" s="5"/>
      <c r="K58" s="5"/>
      <c r="L58" s="5"/>
      <c r="M58" s="5"/>
      <c r="N58" s="2" t="str">
        <f>Table1[[#This Row],[Level1]]</f>
        <v>Hobby &amp; Lek</v>
      </c>
      <c r="O58" s="2" t="str">
        <f>Table1[[#This Row],[Level1]]
&amp;IF(Table1[[#This Row],[Level2]]&lt;&gt;""," &gt; "&amp;Table1[[#This Row],[Level2]],"")</f>
        <v>Hobby &amp; Lek &gt; Radiostyrt</v>
      </c>
      <c r="P58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</v>
      </c>
      <c r="Q58" s="6" t="s">
        <v>935</v>
      </c>
    </row>
    <row r="59" spans="1:17" x14ac:dyDescent="0.25">
      <c r="A59" s="1" t="s">
        <v>8</v>
      </c>
      <c r="B59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hobby-och-lek-radiostyrt-ovriga-tillbehor</v>
      </c>
      <c r="C59" s="3" t="s">
        <v>246</v>
      </c>
      <c r="D59" s="3" t="s">
        <v>272</v>
      </c>
      <c r="E59" s="3" t="s">
        <v>32</v>
      </c>
      <c r="F59" s="3"/>
      <c r="G59" s="4" t="b">
        <v>1</v>
      </c>
      <c r="H59" s="5"/>
      <c r="I59" s="4" t="b">
        <v>1</v>
      </c>
      <c r="J59" s="5"/>
      <c r="K59" s="5"/>
      <c r="L59" s="5"/>
      <c r="M59" s="5"/>
      <c r="N59" s="2" t="str">
        <f>Table1[[#This Row],[Level1]]</f>
        <v>Hobby &amp; Lek</v>
      </c>
      <c r="O59" s="2" t="str">
        <f>Table1[[#This Row],[Level1]]
&amp;IF(Table1[[#This Row],[Level2]]&lt;&gt;""," &gt; "&amp;Table1[[#This Row],[Level2]],"")</f>
        <v>Hobby &amp; Lek &gt; Radiostyrt</v>
      </c>
      <c r="P59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Övriga tillbehör</v>
      </c>
      <c r="Q59" s="6" t="s">
        <v>737</v>
      </c>
    </row>
    <row r="60" spans="1:17" x14ac:dyDescent="0.25">
      <c r="A60" s="1" t="s">
        <v>8</v>
      </c>
      <c r="B6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halsa-och-skonhet-rakning-och-ansning</v>
      </c>
      <c r="C60" s="3" t="s">
        <v>14</v>
      </c>
      <c r="D60" s="3" t="s">
        <v>57</v>
      </c>
      <c r="E60" s="3" t="s">
        <v>372</v>
      </c>
      <c r="F60" s="3"/>
      <c r="G60" s="4" t="b">
        <v>1</v>
      </c>
      <c r="H60" s="5"/>
      <c r="I60" s="4" t="b">
        <v>1</v>
      </c>
      <c r="J60" s="5"/>
      <c r="K60" s="5"/>
      <c r="L60" s="5"/>
      <c r="M60" s="5"/>
      <c r="N60" s="2" t="str">
        <f>Table1[[#This Row],[Level1]]</f>
        <v>Hälsa &amp; Skönhet</v>
      </c>
      <c r="O60" s="2" t="str">
        <f>Table1[[#This Row],[Level1]]
&amp;IF(Table1[[#This Row],[Level2]]&lt;&gt;""," &gt; "&amp;Table1[[#This Row],[Level2]],"")</f>
        <v>Hälsa &amp; Skönhet &gt; Rakning &amp; ansning</v>
      </c>
      <c r="P60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Rakning &amp; ansning</v>
      </c>
      <c r="Q60" s="6" t="s">
        <v>904</v>
      </c>
    </row>
    <row r="61" spans="1:17" x14ac:dyDescent="0.25">
      <c r="A61" s="1" t="s">
        <v>8</v>
      </c>
      <c r="B6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sport-och-fritid-resetillbehor</v>
      </c>
      <c r="C61" s="3" t="s">
        <v>204</v>
      </c>
      <c r="D61" s="3" t="s">
        <v>214</v>
      </c>
      <c r="E61" s="3" t="s">
        <v>372</v>
      </c>
      <c r="F61" s="3"/>
      <c r="G61" s="4" t="b">
        <v>1</v>
      </c>
      <c r="H61" s="5"/>
      <c r="I61" s="4" t="b">
        <v>1</v>
      </c>
      <c r="J61" s="5"/>
      <c r="K61" s="5"/>
      <c r="L61" s="5"/>
      <c r="M61" s="5"/>
      <c r="N61" s="2" t="str">
        <f>Table1[[#This Row],[Level1]]</f>
        <v>Sport &amp; Fritid</v>
      </c>
      <c r="O61" s="2" t="str">
        <f>Table1[[#This Row],[Level1]]
&amp;IF(Table1[[#This Row],[Level2]]&lt;&gt;""," &gt; "&amp;Table1[[#This Row],[Level2]],"")</f>
        <v>Sport &amp; Fritid &gt; Resetillbehör</v>
      </c>
      <c r="P61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Resetillbehör</v>
      </c>
      <c r="Q61" s="6" t="s">
        <v>959</v>
      </c>
    </row>
    <row r="62" spans="1:17" x14ac:dyDescent="0.25">
      <c r="A62" s="1" t="s">
        <v>8</v>
      </c>
      <c r="B6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hobby-och-lek-roliga-prylar-och-samlarobjekt</v>
      </c>
      <c r="C62" s="3" t="s">
        <v>246</v>
      </c>
      <c r="D62" s="3" t="s">
        <v>467</v>
      </c>
      <c r="E62" s="3" t="s">
        <v>372</v>
      </c>
      <c r="F62" s="3"/>
      <c r="G62" s="4" t="b">
        <v>1</v>
      </c>
      <c r="H62" s="5"/>
      <c r="I62" s="4" t="b">
        <v>1</v>
      </c>
      <c r="J62" s="5"/>
      <c r="K62" s="5"/>
      <c r="L62" s="5"/>
      <c r="M62" s="5"/>
      <c r="N62" s="2" t="str">
        <f>Table1[[#This Row],[Level1]]</f>
        <v>Hobby &amp; Lek</v>
      </c>
      <c r="O62" s="2" t="str">
        <f>Table1[[#This Row],[Level1]]
&amp;IF(Table1[[#This Row],[Level2]]&lt;&gt;""," &gt; "&amp;Table1[[#This Row],[Level2]],"")</f>
        <v>Hobby &amp; Lek &gt; Roliga prylar &amp; samlarobjekt</v>
      </c>
      <c r="P62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Roliga prylar &amp; samlarobjekt</v>
      </c>
      <c r="Q62" s="6" t="s">
        <v>936</v>
      </c>
    </row>
    <row r="63" spans="1:17" x14ac:dyDescent="0.25">
      <c r="A63" s="1" t="s">
        <v>8</v>
      </c>
      <c r="B6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hem-och-tradgard-skadedjur-och-skydd</v>
      </c>
      <c r="C63" s="3" t="s">
        <v>146</v>
      </c>
      <c r="D63" s="3" t="s">
        <v>461</v>
      </c>
      <c r="E63" s="3" t="s">
        <v>372</v>
      </c>
      <c r="F63" s="3"/>
      <c r="G63" s="4" t="b">
        <v>1</v>
      </c>
      <c r="H63" s="5"/>
      <c r="I63" s="4" t="b">
        <v>1</v>
      </c>
      <c r="J63" s="5"/>
      <c r="K63" s="5"/>
      <c r="L63" s="5"/>
      <c r="M63" s="5"/>
      <c r="N63" s="2" t="str">
        <f>Table1[[#This Row],[Level1]]</f>
        <v>Hem &amp; Trädgård</v>
      </c>
      <c r="O63" s="2" t="str">
        <f>Table1[[#This Row],[Level1]]
&amp;IF(Table1[[#This Row],[Level2]]&lt;&gt;""," &gt; "&amp;Table1[[#This Row],[Level2]],"")</f>
        <v>Hem &amp; Trädgård &gt; Skadedjur &amp; skydd</v>
      </c>
      <c r="P63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Skadedjur &amp; skydd</v>
      </c>
      <c r="Q63" s="6" t="s">
        <v>910</v>
      </c>
    </row>
    <row r="64" spans="1:17" x14ac:dyDescent="0.25">
      <c r="A64" s="1" t="s">
        <v>8</v>
      </c>
      <c r="B6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mode-och-accessoarer-skor-och-skotillbehor</v>
      </c>
      <c r="C64" s="3" t="s">
        <v>288</v>
      </c>
      <c r="D64" s="3" t="s">
        <v>472</v>
      </c>
      <c r="E64" s="3" t="s">
        <v>372</v>
      </c>
      <c r="F64" s="3"/>
      <c r="G64" s="4" t="b">
        <v>1</v>
      </c>
      <c r="H64" s="5"/>
      <c r="I64" s="4" t="b">
        <v>1</v>
      </c>
      <c r="J64" s="5"/>
      <c r="K64" s="5"/>
      <c r="L64" s="5"/>
      <c r="M64" s="5"/>
      <c r="N64" s="2" t="str">
        <f>Table1[[#This Row],[Level1]]</f>
        <v>Mode &amp; Accessoarer</v>
      </c>
      <c r="O64" s="2" t="str">
        <f>Table1[[#This Row],[Level1]]
&amp;IF(Table1[[#This Row],[Level2]]&lt;&gt;""," &gt; "&amp;Table1[[#This Row],[Level2]],"")</f>
        <v>Mode &amp; Accessoarer &gt; Skor &amp; skotillbehör</v>
      </c>
      <c r="P6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Skor &amp; skotillbehör</v>
      </c>
      <c r="Q64" s="6" t="s">
        <v>951</v>
      </c>
    </row>
    <row r="65" spans="1:17" x14ac:dyDescent="0.25">
      <c r="A65" s="1" t="s">
        <v>8</v>
      </c>
      <c r="B6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hem-och-tradgard-smarta-hem</v>
      </c>
      <c r="C65" s="3" t="s">
        <v>146</v>
      </c>
      <c r="D65" s="3" t="s">
        <v>158</v>
      </c>
      <c r="E65" s="3" t="s">
        <v>372</v>
      </c>
      <c r="F65" s="3"/>
      <c r="G65" s="4" t="b">
        <v>1</v>
      </c>
      <c r="H65" s="5"/>
      <c r="I65" s="4" t="b">
        <v>1</v>
      </c>
      <c r="J65" s="5"/>
      <c r="K65" s="5"/>
      <c r="L65" s="5"/>
      <c r="M65" s="5"/>
      <c r="N65" s="2" t="str">
        <f>Table1[[#This Row],[Level1]]</f>
        <v>Hem &amp; Trädgård</v>
      </c>
      <c r="O65" s="2" t="str">
        <f>Table1[[#This Row],[Level1]]
&amp;IF(Table1[[#This Row],[Level2]]&lt;&gt;""," &gt; "&amp;Table1[[#This Row],[Level2]],"")</f>
        <v>Hem &amp; Trädgård &gt; Smarta hem</v>
      </c>
      <c r="P65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Smarta hem</v>
      </c>
      <c r="Q65" s="6" t="s">
        <v>911</v>
      </c>
    </row>
    <row r="66" spans="1:17" x14ac:dyDescent="0.25">
      <c r="A66" s="1" t="s">
        <v>8</v>
      </c>
      <c r="B66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hem-och-tradgard-smarta-hem-smart-belysning</v>
      </c>
      <c r="C66" s="3" t="s">
        <v>146</v>
      </c>
      <c r="D66" s="3" t="s">
        <v>158</v>
      </c>
      <c r="E66" s="3" t="s">
        <v>112</v>
      </c>
      <c r="F66" s="3"/>
      <c r="G66" s="4" t="b">
        <v>1</v>
      </c>
      <c r="H66" s="5"/>
      <c r="I66" s="4" t="b">
        <v>1</v>
      </c>
      <c r="J66" s="5"/>
      <c r="K66" s="5"/>
      <c r="L66" s="5"/>
      <c r="M66" s="5"/>
      <c r="N66" s="2" t="str">
        <f>Table1[[#This Row],[Level1]]</f>
        <v>Hem &amp; Trädgård</v>
      </c>
      <c r="O66" s="2" t="str">
        <f>Table1[[#This Row],[Level1]]
&amp;IF(Table1[[#This Row],[Level2]]&lt;&gt;""," &gt; "&amp;Table1[[#This Row],[Level2]],"")</f>
        <v>Hem &amp; Trädgård &gt; Smarta hem</v>
      </c>
      <c r="P66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Smarta hem &gt; Smart belysning</v>
      </c>
      <c r="Q66" s="6" t="s">
        <v>592</v>
      </c>
    </row>
    <row r="67" spans="1:17" x14ac:dyDescent="0.25">
      <c r="A67" s="1" t="s">
        <v>8</v>
      </c>
      <c r="B6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</v>
      </c>
      <c r="C67" s="3" t="s">
        <v>331</v>
      </c>
      <c r="D67" s="3" t="s">
        <v>483</v>
      </c>
      <c r="E67" s="3" t="s">
        <v>372</v>
      </c>
      <c r="F67" s="3"/>
      <c r="G67" s="4" t="b">
        <v>1</v>
      </c>
      <c r="H67" s="5"/>
      <c r="I67" s="4" t="b">
        <v>1</v>
      </c>
      <c r="J67" s="5"/>
      <c r="K67" s="5"/>
      <c r="L67" s="5"/>
      <c r="M67" s="5"/>
      <c r="N67" s="2" t="str">
        <f>Table1[[#This Row],[Level1]]</f>
        <v>Hemelektronik</v>
      </c>
      <c r="O67" s="2" t="str">
        <f>Table1[[#This Row],[Level1]]
&amp;IF(Table1[[#This Row],[Level2]]&lt;&gt;""," &gt; "&amp;Table1[[#This Row],[Level2]],"")</f>
        <v>Hemelektronik &gt; Smartphone &amp; surfplattor</v>
      </c>
      <c r="P67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</v>
      </c>
      <c r="Q67" s="6" t="s">
        <v>919</v>
      </c>
    </row>
    <row r="68" spans="1:17" x14ac:dyDescent="0.25">
      <c r="A68" s="1" t="s">
        <v>8</v>
      </c>
      <c r="B68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hemelektronik-smartphone-och-surfplattor-laddare-och-kablar</v>
      </c>
      <c r="C68" s="3" t="s">
        <v>331</v>
      </c>
      <c r="D68" s="3" t="s">
        <v>483</v>
      </c>
      <c r="E68" s="3" t="s">
        <v>328</v>
      </c>
      <c r="F68" s="3"/>
      <c r="G68" s="4" t="b">
        <v>1</v>
      </c>
      <c r="H68" s="5"/>
      <c r="I68" s="4" t="b">
        <v>1</v>
      </c>
      <c r="J68" s="5"/>
      <c r="K68" s="5"/>
      <c r="L68" s="5"/>
      <c r="M68" s="5"/>
      <c r="N68" s="2" t="str">
        <f>Table1[[#This Row],[Level1]]</f>
        <v>Hemelektronik</v>
      </c>
      <c r="O68" s="2" t="str">
        <f>Table1[[#This Row],[Level1]]
&amp;IF(Table1[[#This Row],[Level2]]&lt;&gt;""," &gt; "&amp;Table1[[#This Row],[Level2]],"")</f>
        <v>Hemelektronik &gt; Smartphone &amp; surfplattor</v>
      </c>
      <c r="P68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Laddare &amp; kablar</v>
      </c>
      <c r="Q68" s="6" t="s">
        <v>645</v>
      </c>
    </row>
    <row r="69" spans="1:17" x14ac:dyDescent="0.25">
      <c r="A69" s="1" t="s">
        <v>8</v>
      </c>
      <c r="B69" s="7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hemelektronik-smartphone-och-surfplattor-ovriga-tillbehor</v>
      </c>
      <c r="C69" s="3" t="s">
        <v>331</v>
      </c>
      <c r="D69" s="3" t="s">
        <v>483</v>
      </c>
      <c r="E69" s="3" t="s">
        <v>32</v>
      </c>
      <c r="F69" s="3"/>
      <c r="G69" s="4" t="b">
        <v>1</v>
      </c>
      <c r="H69" s="5"/>
      <c r="I69" s="4" t="b">
        <v>1</v>
      </c>
      <c r="J69" s="5"/>
      <c r="K69" s="5"/>
      <c r="L69" s="5"/>
      <c r="M69" s="5"/>
      <c r="N69" s="2" t="str">
        <f>Table1[[#This Row],[Level1]]</f>
        <v>Hemelektronik</v>
      </c>
      <c r="O69" s="2" t="str">
        <f>Table1[[#This Row],[Level1]]
&amp;IF(Table1[[#This Row],[Level2]]&lt;&gt;""," &gt; "&amp;Table1[[#This Row],[Level2]],"")</f>
        <v>Hemelektronik &gt; Smartphone &amp; surfplattor</v>
      </c>
      <c r="P69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Övriga tillbehör</v>
      </c>
      <c r="Q69" s="6" t="s">
        <v>646</v>
      </c>
    </row>
    <row r="70" spans="1:17" x14ac:dyDescent="0.25">
      <c r="A70" s="1" t="s">
        <v>8</v>
      </c>
      <c r="B7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mode-och-accessoarer-smycken-och-forvaring</v>
      </c>
      <c r="C70" s="3" t="s">
        <v>288</v>
      </c>
      <c r="D70" s="3" t="s">
        <v>471</v>
      </c>
      <c r="E70" s="3" t="s">
        <v>372</v>
      </c>
      <c r="F70" s="3"/>
      <c r="G70" s="4" t="b">
        <v>1</v>
      </c>
      <c r="H70" s="5"/>
      <c r="I70" s="4" t="b">
        <v>1</v>
      </c>
      <c r="J70" s="5"/>
      <c r="K70" s="5"/>
      <c r="L70" s="5"/>
      <c r="M70" s="5"/>
      <c r="N70" s="2" t="str">
        <f>Table1[[#This Row],[Level1]]</f>
        <v>Mode &amp; Accessoarer</v>
      </c>
      <c r="O70" s="2" t="str">
        <f>Table1[[#This Row],[Level1]]
&amp;IF(Table1[[#This Row],[Level2]]&lt;&gt;""," &gt; "&amp;Table1[[#This Row],[Level2]],"")</f>
        <v>Mode &amp; Accessoarer &gt; Smycken &amp; förvaring</v>
      </c>
      <c r="P70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Smycken &amp; förvaring</v>
      </c>
      <c r="Q70" s="6" t="s">
        <v>952</v>
      </c>
    </row>
    <row r="71" spans="1:17" x14ac:dyDescent="0.25">
      <c r="A71" s="1" t="s">
        <v>8</v>
      </c>
      <c r="B7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hemelektronik-spel-och-underhallningstillbehor</v>
      </c>
      <c r="C71" s="3" t="s">
        <v>331</v>
      </c>
      <c r="D71" s="3" t="s">
        <v>481</v>
      </c>
      <c r="E71" s="3" t="s">
        <v>372</v>
      </c>
      <c r="F71" s="3"/>
      <c r="G71" s="4" t="b">
        <v>1</v>
      </c>
      <c r="H71" s="5"/>
      <c r="I71" s="4" t="b">
        <v>1</v>
      </c>
      <c r="J71" s="5"/>
      <c r="K71" s="5"/>
      <c r="L71" s="5"/>
      <c r="M71" s="5"/>
      <c r="N71" s="2" t="str">
        <f>Table1[[#This Row],[Level1]]</f>
        <v>Hemelektronik</v>
      </c>
      <c r="O71" s="2" t="str">
        <f>Table1[[#This Row],[Level1]]
&amp;IF(Table1[[#This Row],[Level2]]&lt;&gt;""," &gt; "&amp;Table1[[#This Row],[Level2]],"")</f>
        <v>Hemelektronik &gt; Spel &amp; underhållningstillbehör</v>
      </c>
      <c r="P71" s="2" t="str">
        <f>Table1[[#This Row],[Level1]]
&amp;IF(Table1[[#This Row],[Level2]]&lt;&gt;""," &gt; "&amp;Table1[[#This Row],[Level2]],"")
&amp;IF(Table1[[#This Row],[Level3]]&lt;&gt;""," &gt; "&amp;Table1[[#This Row],[Level3]],"")</f>
        <v>Hemelektronik &gt; Spel &amp; underhållningstillbehör</v>
      </c>
      <c r="Q71" s="6" t="s">
        <v>920</v>
      </c>
    </row>
    <row r="72" spans="1:17" x14ac:dyDescent="0.25">
      <c r="A72" s="1" t="s">
        <v>8</v>
      </c>
      <c r="B7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</v>
      </c>
      <c r="C72" s="3" t="s">
        <v>484</v>
      </c>
      <c r="D72" s="3" t="s">
        <v>39</v>
      </c>
      <c r="E72" s="3" t="s">
        <v>372</v>
      </c>
      <c r="F72" s="3"/>
      <c r="G72" s="4" t="b">
        <v>1</v>
      </c>
      <c r="H72" s="5"/>
      <c r="I72" s="4" t="b">
        <v>1</v>
      </c>
      <c r="J72" s="5"/>
      <c r="K72" s="5"/>
      <c r="L72" s="5"/>
      <c r="M72" s="5"/>
      <c r="N72" s="2" t="str">
        <f>Table1[[#This Row],[Level1]]</f>
        <v>Hushåll &amp; Kök</v>
      </c>
      <c r="O72" s="2" t="str">
        <f>Table1[[#This Row],[Level1]]
&amp;IF(Table1[[#This Row],[Level2]]&lt;&gt;""," &gt; "&amp;Table1[[#This Row],[Level2]],"")</f>
        <v>Hushåll &amp; Kök &gt; Städprodukter</v>
      </c>
      <c r="P72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</v>
      </c>
      <c r="Q72" s="6" t="s">
        <v>944</v>
      </c>
    </row>
    <row r="73" spans="1:17" x14ac:dyDescent="0.25">
      <c r="A73" s="1" t="s">
        <v>8</v>
      </c>
      <c r="B7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</v>
      </c>
      <c r="C73" s="3" t="s">
        <v>14</v>
      </c>
      <c r="D73" s="3" t="s">
        <v>62</v>
      </c>
      <c r="E73" s="3" t="s">
        <v>372</v>
      </c>
      <c r="F73" s="3"/>
      <c r="G73" s="4" t="b">
        <v>1</v>
      </c>
      <c r="H73" s="5"/>
      <c r="I73" s="4" t="b">
        <v>1</v>
      </c>
      <c r="J73" s="5"/>
      <c r="K73" s="5"/>
      <c r="L73" s="5"/>
      <c r="M73" s="5"/>
      <c r="N73" s="2" t="str">
        <f>Table1[[#This Row],[Level1]]</f>
        <v>Hälsa &amp; Skönhet</v>
      </c>
      <c r="O73" s="2" t="str">
        <f>Table1[[#This Row],[Level1]]
&amp;IF(Table1[[#This Row],[Level2]]&lt;&gt;""," &gt; "&amp;Table1[[#This Row],[Level2]],"")</f>
        <v>Hälsa &amp; Skönhet &gt; Stöd &amp; rehabilitering</v>
      </c>
      <c r="P73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</v>
      </c>
      <c r="Q73" s="6" t="s">
        <v>906</v>
      </c>
    </row>
    <row r="74" spans="1:17" x14ac:dyDescent="0.25">
      <c r="A74" s="1" t="s">
        <v>8</v>
      </c>
      <c r="B7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mode-och-accessoarer-strumpor-och-underklader</v>
      </c>
      <c r="C74" s="3" t="s">
        <v>288</v>
      </c>
      <c r="D74" s="3" t="s">
        <v>470</v>
      </c>
      <c r="E74" s="3" t="s">
        <v>372</v>
      </c>
      <c r="F74" s="3"/>
      <c r="G74" s="4" t="b">
        <v>1</v>
      </c>
      <c r="H74" s="5"/>
      <c r="I74" s="4" t="b">
        <v>1</v>
      </c>
      <c r="J74" s="5"/>
      <c r="K74" s="5"/>
      <c r="L74" s="5"/>
      <c r="M74" s="5"/>
      <c r="N74" s="2" t="str">
        <f>Table1[[#This Row],[Level1]]</f>
        <v>Mode &amp; Accessoarer</v>
      </c>
      <c r="O74" s="2" t="str">
        <f>Table1[[#This Row],[Level1]]
&amp;IF(Table1[[#This Row],[Level2]]&lt;&gt;""," &gt; "&amp;Table1[[#This Row],[Level2]],"")</f>
        <v>Mode &amp; Accessoarer &gt; Strumpor &amp; underkläder</v>
      </c>
      <c r="P7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Strumpor &amp; underkläder</v>
      </c>
      <c r="Q74" s="6" t="s">
        <v>953</v>
      </c>
    </row>
    <row r="75" spans="1:17" x14ac:dyDescent="0.25">
      <c r="A75" s="1" t="s">
        <v>8</v>
      </c>
      <c r="B7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sport-och-fritid-traningsklader</v>
      </c>
      <c r="C75" s="3" t="s">
        <v>204</v>
      </c>
      <c r="D75" s="3" t="s">
        <v>217</v>
      </c>
      <c r="E75" s="3" t="s">
        <v>372</v>
      </c>
      <c r="F75" s="3"/>
      <c r="G75" s="4" t="b">
        <v>1</v>
      </c>
      <c r="H75" s="5"/>
      <c r="I75" s="4" t="b">
        <v>1</v>
      </c>
      <c r="J75" s="5"/>
      <c r="K75" s="5"/>
      <c r="L75" s="5"/>
      <c r="M75" s="5"/>
      <c r="N75" s="2" t="str">
        <f>Table1[[#This Row],[Level1]]</f>
        <v>Sport &amp; Fritid</v>
      </c>
      <c r="O75" s="2" t="str">
        <f>Table1[[#This Row],[Level1]]
&amp;IF(Table1[[#This Row],[Level2]]&lt;&gt;""," &gt; "&amp;Table1[[#This Row],[Level2]],"")</f>
        <v>Sport &amp; Fritid &gt; Träningskläder</v>
      </c>
      <c r="P75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Träningskläder</v>
      </c>
      <c r="Q75" s="6" t="s">
        <v>960</v>
      </c>
    </row>
    <row r="76" spans="1:17" x14ac:dyDescent="0.25">
      <c r="A76" s="1" t="s">
        <v>8</v>
      </c>
      <c r="B7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</v>
      </c>
      <c r="C76" s="3" t="s">
        <v>204</v>
      </c>
      <c r="D76" s="3" t="s">
        <v>222</v>
      </c>
      <c r="E76" s="3" t="s">
        <v>372</v>
      </c>
      <c r="F76" s="3"/>
      <c r="G76" s="4" t="b">
        <v>1</v>
      </c>
      <c r="H76" s="5"/>
      <c r="I76" s="4" t="b">
        <v>1</v>
      </c>
      <c r="J76" s="5"/>
      <c r="K76" s="5"/>
      <c r="L76" s="5"/>
      <c r="M76" s="5"/>
      <c r="N76" s="2" t="str">
        <f>Table1[[#This Row],[Level1]]</f>
        <v>Sport &amp; Fritid</v>
      </c>
      <c r="O76" s="2" t="str">
        <f>Table1[[#This Row],[Level1]]
&amp;IF(Table1[[#This Row],[Level2]]&lt;&gt;""," &gt; "&amp;Table1[[#This Row],[Level2]],"")</f>
        <v>Sport &amp; Fritid &gt; Träningsutrustning</v>
      </c>
      <c r="P76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</v>
      </c>
      <c r="Q76" s="6" t="s">
        <v>961</v>
      </c>
    </row>
    <row r="77" spans="1:17" x14ac:dyDescent="0.25">
      <c r="A77" s="1" t="s">
        <v>8</v>
      </c>
      <c r="B7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hemelektronik-tv-och-projektorer</v>
      </c>
      <c r="C77" s="3" t="s">
        <v>331</v>
      </c>
      <c r="D77" s="3" t="s">
        <v>482</v>
      </c>
      <c r="E77" s="3" t="s">
        <v>372</v>
      </c>
      <c r="F77" s="3"/>
      <c r="G77" s="4" t="b">
        <v>1</v>
      </c>
      <c r="H77" s="5"/>
      <c r="I77" s="4" t="b">
        <v>1</v>
      </c>
      <c r="J77" s="5"/>
      <c r="K77" s="5"/>
      <c r="L77" s="5"/>
      <c r="M77" s="5"/>
      <c r="N77" s="2" t="str">
        <f>Table1[[#This Row],[Level1]]</f>
        <v>Hemelektronik</v>
      </c>
      <c r="O77" s="2" t="str">
        <f>Table1[[#This Row],[Level1]]
&amp;IF(Table1[[#This Row],[Level2]]&lt;&gt;""," &gt; "&amp;Table1[[#This Row],[Level2]],"")</f>
        <v>Hemelektronik &gt; Tv &amp; projektorer</v>
      </c>
      <c r="P77" s="2" t="str">
        <f>Table1[[#This Row],[Level1]]
&amp;IF(Table1[[#This Row],[Level2]]&lt;&gt;""," &gt; "&amp;Table1[[#This Row],[Level2]],"")
&amp;IF(Table1[[#This Row],[Level3]]&lt;&gt;""," &gt; "&amp;Table1[[#This Row],[Level3]],"")</f>
        <v>Hemelektronik &gt; Tv &amp; projektorer</v>
      </c>
      <c r="Q77" s="6" t="s">
        <v>921</v>
      </c>
    </row>
    <row r="78" spans="1:17" x14ac:dyDescent="0.25">
      <c r="A78" s="1" t="s">
        <v>8</v>
      </c>
      <c r="B7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hobby-och-lek-uteleksaker</v>
      </c>
      <c r="C78" s="3" t="s">
        <v>246</v>
      </c>
      <c r="D78" s="3" t="s">
        <v>266</v>
      </c>
      <c r="E78" s="3" t="s">
        <v>372</v>
      </c>
      <c r="F78" s="3"/>
      <c r="G78" s="4" t="b">
        <v>1</v>
      </c>
      <c r="H78" s="5"/>
      <c r="I78" s="4" t="b">
        <v>1</v>
      </c>
      <c r="J78" s="5"/>
      <c r="K78" s="5"/>
      <c r="L78" s="5"/>
      <c r="M78" s="5"/>
      <c r="N78" s="2" t="str">
        <f>Table1[[#This Row],[Level1]]</f>
        <v>Hobby &amp; Lek</v>
      </c>
      <c r="O78" s="2" t="str">
        <f>Table1[[#This Row],[Level1]]
&amp;IF(Table1[[#This Row],[Level2]]&lt;&gt;""," &gt; "&amp;Table1[[#This Row],[Level2]],"")</f>
        <v>Hobby &amp; Lek &gt; Uteleksaker</v>
      </c>
      <c r="P78" s="2" t="str">
        <f>Table1[[#This Row],[Level1]]
&amp;IF(Table1[[#This Row],[Level2]]&lt;&gt;""," &gt; "&amp;Table1[[#This Row],[Level2]],"")
&amp;IF(Table1[[#This Row],[Level3]]&lt;&gt;""," &gt; "&amp;Table1[[#This Row],[Level3]],"")</f>
        <v>Hobby &amp; Lek &gt; Uteleksaker</v>
      </c>
      <c r="Q78" s="6" t="s">
        <v>937</v>
      </c>
    </row>
    <row r="79" spans="1:17" x14ac:dyDescent="0.25">
      <c r="A79" s="1" t="s">
        <v>8</v>
      </c>
      <c r="B7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</v>
      </c>
      <c r="C79" s="3" t="s">
        <v>146</v>
      </c>
      <c r="D79" s="3" t="s">
        <v>459</v>
      </c>
      <c r="E79" s="3" t="s">
        <v>372</v>
      </c>
      <c r="F79" s="3"/>
      <c r="G79" s="4" t="b">
        <v>1</v>
      </c>
      <c r="H79" s="5"/>
      <c r="I79" s="4" t="b">
        <v>1</v>
      </c>
      <c r="J79" s="5"/>
      <c r="K79" s="5"/>
      <c r="L79" s="5"/>
      <c r="M79" s="5"/>
      <c r="N79" s="2" t="str">
        <f>Table1[[#This Row],[Level1]]</f>
        <v>Hem &amp; Trädgård</v>
      </c>
      <c r="O79" s="2" t="str">
        <f>Table1[[#This Row],[Level1]]
&amp;IF(Table1[[#This Row],[Level2]]&lt;&gt;""," &gt; "&amp;Table1[[#This Row],[Level2]],"")</f>
        <v>Hem &amp; Trädgård &gt; Uteplats &amp; trädgård</v>
      </c>
      <c r="P79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</v>
      </c>
      <c r="Q79" s="6" t="s">
        <v>912</v>
      </c>
    </row>
    <row r="80" spans="1:17" x14ac:dyDescent="0.25">
      <c r="A80" s="1" t="s">
        <v>8</v>
      </c>
      <c r="B8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mode-och-accessoarer-vaskor-och-forvaring</v>
      </c>
      <c r="C80" s="3" t="s">
        <v>288</v>
      </c>
      <c r="D80" s="3" t="s">
        <v>469</v>
      </c>
      <c r="E80" s="3" t="s">
        <v>372</v>
      </c>
      <c r="F80" s="3"/>
      <c r="G80" s="4" t="b">
        <v>1</v>
      </c>
      <c r="H80" s="5"/>
      <c r="I80" s="4" t="b">
        <v>1</v>
      </c>
      <c r="J80" s="5"/>
      <c r="K80" s="5"/>
      <c r="L80" s="5"/>
      <c r="M80" s="5"/>
      <c r="N80" s="2" t="str">
        <f>Table1[[#This Row],[Level1]]</f>
        <v>Mode &amp; Accessoarer</v>
      </c>
      <c r="O80" s="2" t="str">
        <f>Table1[[#This Row],[Level1]]
&amp;IF(Table1[[#This Row],[Level2]]&lt;&gt;""," &gt; "&amp;Table1[[#This Row],[Level2]],"")</f>
        <v>Mode &amp; Accessoarer &gt; Väskor &amp; förvaring</v>
      </c>
      <c r="P80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Väskor &amp; förvaring</v>
      </c>
      <c r="Q80" s="6" t="s">
        <v>954</v>
      </c>
    </row>
    <row r="81" spans="1:17" x14ac:dyDescent="0.25">
      <c r="A81" s="1" t="s">
        <v>8</v>
      </c>
      <c r="B8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</v>
      </c>
      <c r="C81" s="3" t="s">
        <v>146</v>
      </c>
      <c r="D81" s="3" t="s">
        <v>147</v>
      </c>
      <c r="E81" s="3" t="s">
        <v>372</v>
      </c>
      <c r="F81" s="3"/>
      <c r="G81" s="4" t="b">
        <v>1</v>
      </c>
      <c r="H81" s="5"/>
      <c r="I81" s="4" t="b">
        <v>1</v>
      </c>
      <c r="J81" s="5"/>
      <c r="K81" s="5"/>
      <c r="L81" s="5"/>
      <c r="M81" s="5"/>
      <c r="N81" s="2" t="str">
        <f>Table1[[#This Row],[Level1]]</f>
        <v>Hem &amp; Trädgård</v>
      </c>
      <c r="O81" s="2" t="str">
        <f>Table1[[#This Row],[Level1]]
&amp;IF(Table1[[#This Row],[Level2]]&lt;&gt;""," &gt; "&amp;Table1[[#This Row],[Level2]],"")</f>
        <v>Hem &amp; Trädgård &gt; Verktyg</v>
      </c>
      <c r="P81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</v>
      </c>
      <c r="Q81" s="6" t="s">
        <v>913</v>
      </c>
    </row>
    <row r="82" spans="1:17" x14ac:dyDescent="0.25">
      <c r="A82" s="1" t="s">
        <v>8</v>
      </c>
      <c r="B8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heminredning-badrum-badrumsinredning</v>
      </c>
      <c r="C82" s="3" t="s">
        <v>145</v>
      </c>
      <c r="D82" s="3" t="s">
        <v>128</v>
      </c>
      <c r="E82" s="3" t="s">
        <v>129</v>
      </c>
      <c r="F82" s="3"/>
      <c r="G82" s="4" t="b">
        <v>1</v>
      </c>
      <c r="H82" s="5"/>
      <c r="I82" s="4" t="b">
        <v>1</v>
      </c>
      <c r="J82" s="5"/>
      <c r="K82" s="5"/>
      <c r="L82" s="5"/>
      <c r="M82" s="5"/>
      <c r="N82" s="2" t="str">
        <f>Table1[[#This Row],[Level1]]</f>
        <v>Heminredning</v>
      </c>
      <c r="O82" s="2" t="str">
        <f>Table1[[#This Row],[Level1]]
&amp;IF(Table1[[#This Row],[Level2]]&lt;&gt;""," &gt; "&amp;Table1[[#This Row],[Level2]],"")</f>
        <v>Heminredning &gt; Badrum</v>
      </c>
      <c r="P82" s="2" t="str">
        <f>Table1[[#This Row],[Level1]]
&amp;IF(Table1[[#This Row],[Level2]]&lt;&gt;""," &gt; "&amp;Table1[[#This Row],[Level2]],"")
&amp;IF(Table1[[#This Row],[Level3]]&lt;&gt;""," &gt; "&amp;Table1[[#This Row],[Level3]],"")</f>
        <v>Heminredning &gt; Badrum &gt; Badrumsinredning</v>
      </c>
      <c r="Q82" s="6" t="s">
        <v>661</v>
      </c>
    </row>
    <row r="83" spans="1:17" x14ac:dyDescent="0.25">
      <c r="A83" s="1" t="s">
        <v>8</v>
      </c>
      <c r="B8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heminredning-badrum-badrumsvagar</v>
      </c>
      <c r="C83" s="3" t="s">
        <v>145</v>
      </c>
      <c r="D83" s="3" t="s">
        <v>128</v>
      </c>
      <c r="E83" s="3" t="s">
        <v>131</v>
      </c>
      <c r="F83" s="3"/>
      <c r="G83" s="4" t="b">
        <v>1</v>
      </c>
      <c r="H83" s="5"/>
      <c r="I83" s="4" t="b">
        <v>1</v>
      </c>
      <c r="J83" s="5"/>
      <c r="K83" s="5"/>
      <c r="L83" s="5"/>
      <c r="M83" s="5"/>
      <c r="N83" s="2" t="str">
        <f>Table1[[#This Row],[Level1]]</f>
        <v>Heminredning</v>
      </c>
      <c r="O83" s="2" t="str">
        <f>Table1[[#This Row],[Level1]]
&amp;IF(Table1[[#This Row],[Level2]]&lt;&gt;""," &gt; "&amp;Table1[[#This Row],[Level2]],"")</f>
        <v>Heminredning &gt; Badrum</v>
      </c>
      <c r="P83" s="2" t="str">
        <f>Table1[[#This Row],[Level1]]
&amp;IF(Table1[[#This Row],[Level2]]&lt;&gt;""," &gt; "&amp;Table1[[#This Row],[Level2]],"")
&amp;IF(Table1[[#This Row],[Level3]]&lt;&gt;""," &gt; "&amp;Table1[[#This Row],[Level3]],"")</f>
        <v>Heminredning &gt; Badrum &gt; Badrumsvågar</v>
      </c>
      <c r="Q83" s="6" t="s">
        <v>662</v>
      </c>
    </row>
    <row r="84" spans="1:17" x14ac:dyDescent="0.25">
      <c r="A84" s="1" t="s">
        <v>8</v>
      </c>
      <c r="B8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heminredning-badrum-dusch-och-badtillbehor</v>
      </c>
      <c r="C84" s="3" t="s">
        <v>145</v>
      </c>
      <c r="D84" s="3" t="s">
        <v>128</v>
      </c>
      <c r="E84" s="3" t="s">
        <v>132</v>
      </c>
      <c r="F84" s="3"/>
      <c r="G84" s="4" t="b">
        <v>1</v>
      </c>
      <c r="H84" s="5"/>
      <c r="I84" s="4" t="b">
        <v>1</v>
      </c>
      <c r="J84" s="5"/>
      <c r="K84" s="5"/>
      <c r="L84" s="5"/>
      <c r="M84" s="5"/>
      <c r="N84" s="2" t="str">
        <f>Table1[[#This Row],[Level1]]</f>
        <v>Heminredning</v>
      </c>
      <c r="O84" s="2" t="str">
        <f>Table1[[#This Row],[Level1]]
&amp;IF(Table1[[#This Row],[Level2]]&lt;&gt;""," &gt; "&amp;Table1[[#This Row],[Level2]],"")</f>
        <v>Heminredning &gt; Badrum</v>
      </c>
      <c r="P84" s="2" t="str">
        <f>Table1[[#This Row],[Level1]]
&amp;IF(Table1[[#This Row],[Level2]]&lt;&gt;""," &gt; "&amp;Table1[[#This Row],[Level2]],"")
&amp;IF(Table1[[#This Row],[Level3]]&lt;&gt;""," &gt; "&amp;Table1[[#This Row],[Level3]],"")</f>
        <v>Heminredning &gt; Badrum &gt; Dusch &amp; badtillbehör</v>
      </c>
      <c r="Q84" s="6" t="s">
        <v>663</v>
      </c>
    </row>
    <row r="85" spans="1:17" x14ac:dyDescent="0.25">
      <c r="A85" s="1" t="s">
        <v>8</v>
      </c>
      <c r="B8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heminredning-badrum-forvaring-och-necessarer</v>
      </c>
      <c r="C85" s="3" t="s">
        <v>145</v>
      </c>
      <c r="D85" s="3" t="s">
        <v>128</v>
      </c>
      <c r="E85" s="3" t="s">
        <v>412</v>
      </c>
      <c r="F85" s="3"/>
      <c r="G85" s="4" t="b">
        <v>1</v>
      </c>
      <c r="H85" s="5"/>
      <c r="I85" s="4" t="b">
        <v>1</v>
      </c>
      <c r="J85" s="5"/>
      <c r="K85" s="5"/>
      <c r="L85" s="5"/>
      <c r="M85" s="5"/>
      <c r="N85" s="2" t="str">
        <f>Table1[[#This Row],[Level1]]</f>
        <v>Heminredning</v>
      </c>
      <c r="O85" s="2" t="str">
        <f>Table1[[#This Row],[Level1]]
&amp;IF(Table1[[#This Row],[Level2]]&lt;&gt;""," &gt; "&amp;Table1[[#This Row],[Level2]],"")</f>
        <v>Heminredning &gt; Badrum</v>
      </c>
      <c r="P85" s="2" t="str">
        <f>Table1[[#This Row],[Level1]]
&amp;IF(Table1[[#This Row],[Level2]]&lt;&gt;""," &gt; "&amp;Table1[[#This Row],[Level2]],"")
&amp;IF(Table1[[#This Row],[Level3]]&lt;&gt;""," &gt; "&amp;Table1[[#This Row],[Level3]],"")</f>
        <v>Heminredning &gt; Badrum &gt; Förvaring &amp; necessärer</v>
      </c>
      <c r="Q85" s="6" t="s">
        <v>664</v>
      </c>
    </row>
    <row r="86" spans="1:17" x14ac:dyDescent="0.25">
      <c r="A86" s="1" t="s">
        <v>8</v>
      </c>
      <c r="B8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heminredning-badrum-handdukar</v>
      </c>
      <c r="C86" s="3" t="s">
        <v>145</v>
      </c>
      <c r="D86" s="3" t="s">
        <v>128</v>
      </c>
      <c r="E86" s="3" t="s">
        <v>130</v>
      </c>
      <c r="F86" s="3"/>
      <c r="G86" s="4" t="b">
        <v>1</v>
      </c>
      <c r="H86" s="5"/>
      <c r="I86" s="4" t="b">
        <v>1</v>
      </c>
      <c r="J86" s="5"/>
      <c r="K86" s="5"/>
      <c r="L86" s="5"/>
      <c r="M86" s="5"/>
      <c r="N86" s="2" t="str">
        <f>Table1[[#This Row],[Level1]]</f>
        <v>Heminredning</v>
      </c>
      <c r="O86" s="2" t="str">
        <f>Table1[[#This Row],[Level1]]
&amp;IF(Table1[[#This Row],[Level2]]&lt;&gt;""," &gt; "&amp;Table1[[#This Row],[Level2]],"")</f>
        <v>Heminredning &gt; Badrum</v>
      </c>
      <c r="P86" s="2" t="str">
        <f>Table1[[#This Row],[Level1]]
&amp;IF(Table1[[#This Row],[Level2]]&lt;&gt;""," &gt; "&amp;Table1[[#This Row],[Level2]],"")
&amp;IF(Table1[[#This Row],[Level3]]&lt;&gt;""," &gt; "&amp;Table1[[#This Row],[Level3]],"")</f>
        <v>Heminredning &gt; Badrum &gt; Handdukar</v>
      </c>
      <c r="Q86" s="6" t="s">
        <v>665</v>
      </c>
    </row>
    <row r="87" spans="1:17" x14ac:dyDescent="0.25">
      <c r="A87" s="1" t="s">
        <v>8</v>
      </c>
      <c r="B8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heminredning-badrum-ovrigt-badrum</v>
      </c>
      <c r="C87" s="3" t="s">
        <v>145</v>
      </c>
      <c r="D87" s="3" t="s">
        <v>128</v>
      </c>
      <c r="E87" s="3" t="s">
        <v>133</v>
      </c>
      <c r="F87" s="3"/>
      <c r="G87" s="4" t="b">
        <v>1</v>
      </c>
      <c r="H87" s="5"/>
      <c r="I87" s="4" t="b">
        <v>1</v>
      </c>
      <c r="J87" s="5"/>
      <c r="K87" s="5"/>
      <c r="L87" s="5"/>
      <c r="M87" s="5"/>
      <c r="N87" s="2" t="str">
        <f>Table1[[#This Row],[Level1]]</f>
        <v>Heminredning</v>
      </c>
      <c r="O87" s="2" t="str">
        <f>Table1[[#This Row],[Level1]]
&amp;IF(Table1[[#This Row],[Level2]]&lt;&gt;""," &gt; "&amp;Table1[[#This Row],[Level2]],"")</f>
        <v>Heminredning &gt; Badrum</v>
      </c>
      <c r="P87" s="2" t="str">
        <f>Table1[[#This Row],[Level1]]
&amp;IF(Table1[[#This Row],[Level2]]&lt;&gt;""," &gt; "&amp;Table1[[#This Row],[Level2]],"")
&amp;IF(Table1[[#This Row],[Level3]]&lt;&gt;""," &gt; "&amp;Table1[[#This Row],[Level3]],"")</f>
        <v>Heminredning &gt; Badrum &gt; Övrigt badrum</v>
      </c>
      <c r="Q87" s="6" t="s">
        <v>666</v>
      </c>
    </row>
    <row r="88" spans="1:17" x14ac:dyDescent="0.25">
      <c r="A88" s="1" t="s">
        <v>8</v>
      </c>
      <c r="B8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heminredning-barnrum-dekoration</v>
      </c>
      <c r="C88" s="3" t="s">
        <v>145</v>
      </c>
      <c r="D88" s="3" t="s">
        <v>140</v>
      </c>
      <c r="E88" s="3" t="s">
        <v>119</v>
      </c>
      <c r="F88" s="3"/>
      <c r="G88" s="4" t="b">
        <v>1</v>
      </c>
      <c r="H88" s="5"/>
      <c r="I88" s="4" t="b">
        <v>1</v>
      </c>
      <c r="J88" s="5"/>
      <c r="K88" s="5"/>
      <c r="L88" s="5"/>
      <c r="M88" s="5"/>
      <c r="N88" s="2" t="str">
        <f>Table1[[#This Row],[Level1]]</f>
        <v>Heminredning</v>
      </c>
      <c r="O88" s="2" t="str">
        <f>Table1[[#This Row],[Level1]]
&amp;IF(Table1[[#This Row],[Level2]]&lt;&gt;""," &gt; "&amp;Table1[[#This Row],[Level2]],"")</f>
        <v>Heminredning &gt; Barnrum</v>
      </c>
      <c r="P88" s="2" t="str">
        <f>Table1[[#This Row],[Level1]]
&amp;IF(Table1[[#This Row],[Level2]]&lt;&gt;""," &gt; "&amp;Table1[[#This Row],[Level2]],"")
&amp;IF(Table1[[#This Row],[Level3]]&lt;&gt;""," &gt; "&amp;Table1[[#This Row],[Level3]],"")</f>
        <v>Heminredning &gt; Barnrum &gt; Dekoration</v>
      </c>
      <c r="Q88" s="6" t="s">
        <v>667</v>
      </c>
    </row>
    <row r="89" spans="1:17" x14ac:dyDescent="0.25">
      <c r="A89" s="1" t="s">
        <v>8</v>
      </c>
      <c r="B8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heminredning-barnrum-forvaring</v>
      </c>
      <c r="C89" s="3" t="s">
        <v>145</v>
      </c>
      <c r="D89" s="3" t="s">
        <v>140</v>
      </c>
      <c r="E89" s="3" t="s">
        <v>141</v>
      </c>
      <c r="F89" s="3"/>
      <c r="G89" s="4" t="b">
        <v>1</v>
      </c>
      <c r="H89" s="5"/>
      <c r="I89" s="4" t="b">
        <v>1</v>
      </c>
      <c r="J89" s="5"/>
      <c r="K89" s="5"/>
      <c r="L89" s="5"/>
      <c r="M89" s="5"/>
      <c r="N89" s="2" t="str">
        <f>Table1[[#This Row],[Level1]]</f>
        <v>Heminredning</v>
      </c>
      <c r="O89" s="2" t="str">
        <f>Table1[[#This Row],[Level1]]
&amp;IF(Table1[[#This Row],[Level2]]&lt;&gt;""," &gt; "&amp;Table1[[#This Row],[Level2]],"")</f>
        <v>Heminredning &gt; Barnrum</v>
      </c>
      <c r="P89" s="2" t="str">
        <f>Table1[[#This Row],[Level1]]
&amp;IF(Table1[[#This Row],[Level2]]&lt;&gt;""," &gt; "&amp;Table1[[#This Row],[Level2]],"")
&amp;IF(Table1[[#This Row],[Level3]]&lt;&gt;""," &gt; "&amp;Table1[[#This Row],[Level3]],"")</f>
        <v>Heminredning &gt; Barnrum &gt; Förvaring</v>
      </c>
      <c r="Q89" s="6" t="s">
        <v>668</v>
      </c>
    </row>
    <row r="90" spans="1:17" x14ac:dyDescent="0.25">
      <c r="A90" s="1" t="s">
        <v>8</v>
      </c>
      <c r="B9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heminredning-barnrum-lekmattor</v>
      </c>
      <c r="C90" s="3" t="s">
        <v>145</v>
      </c>
      <c r="D90" s="3" t="s">
        <v>140</v>
      </c>
      <c r="E90" s="3" t="s">
        <v>142</v>
      </c>
      <c r="F90" s="3"/>
      <c r="G90" s="4" t="b">
        <v>1</v>
      </c>
      <c r="H90" s="5"/>
      <c r="I90" s="4" t="b">
        <v>1</v>
      </c>
      <c r="J90" s="5"/>
      <c r="K90" s="5"/>
      <c r="L90" s="5"/>
      <c r="M90" s="5"/>
      <c r="N90" s="2" t="str">
        <f>Table1[[#This Row],[Level1]]</f>
        <v>Heminredning</v>
      </c>
      <c r="O90" s="2" t="str">
        <f>Table1[[#This Row],[Level1]]
&amp;IF(Table1[[#This Row],[Level2]]&lt;&gt;""," &gt; "&amp;Table1[[#This Row],[Level2]],"")</f>
        <v>Heminredning &gt; Barnrum</v>
      </c>
      <c r="P90" s="2" t="str">
        <f>Table1[[#This Row],[Level1]]
&amp;IF(Table1[[#This Row],[Level2]]&lt;&gt;""," &gt; "&amp;Table1[[#This Row],[Level2]],"")
&amp;IF(Table1[[#This Row],[Level3]]&lt;&gt;""," &gt; "&amp;Table1[[#This Row],[Level3]],"")</f>
        <v>Heminredning &gt; Barnrum &gt; Lekmattor</v>
      </c>
      <c r="Q90" s="6" t="s">
        <v>669</v>
      </c>
    </row>
    <row r="91" spans="1:17" x14ac:dyDescent="0.25">
      <c r="A91" s="1" t="s">
        <v>8</v>
      </c>
      <c r="B9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heminredning-barnrum-nattlampor</v>
      </c>
      <c r="C91" s="3" t="s">
        <v>145</v>
      </c>
      <c r="D91" s="3" t="s">
        <v>140</v>
      </c>
      <c r="E91" s="3" t="s">
        <v>143</v>
      </c>
      <c r="F91" s="3"/>
      <c r="G91" s="4" t="b">
        <v>1</v>
      </c>
      <c r="H91" s="5"/>
      <c r="I91" s="4" t="b">
        <v>1</v>
      </c>
      <c r="J91" s="5"/>
      <c r="K91" s="5"/>
      <c r="L91" s="5"/>
      <c r="M91" s="5"/>
      <c r="N91" s="2" t="str">
        <f>Table1[[#This Row],[Level1]]</f>
        <v>Heminredning</v>
      </c>
      <c r="O91" s="2" t="str">
        <f>Table1[[#This Row],[Level1]]
&amp;IF(Table1[[#This Row],[Level2]]&lt;&gt;""," &gt; "&amp;Table1[[#This Row],[Level2]],"")</f>
        <v>Heminredning &gt; Barnrum</v>
      </c>
      <c r="P91" s="2" t="str">
        <f>Table1[[#This Row],[Level1]]
&amp;IF(Table1[[#This Row],[Level2]]&lt;&gt;""," &gt; "&amp;Table1[[#This Row],[Level2]],"")
&amp;IF(Table1[[#This Row],[Level3]]&lt;&gt;""," &gt; "&amp;Table1[[#This Row],[Level3]],"")</f>
        <v>Heminredning &gt; Barnrum &gt; Nattlampor</v>
      </c>
      <c r="Q91" s="6" t="s">
        <v>670</v>
      </c>
    </row>
    <row r="92" spans="1:17" x14ac:dyDescent="0.25">
      <c r="A92" s="1" t="s">
        <v>8</v>
      </c>
      <c r="B9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heminredning-barnrum-ovrig-inredning</v>
      </c>
      <c r="C92" s="3" t="s">
        <v>145</v>
      </c>
      <c r="D92" s="3" t="s">
        <v>140</v>
      </c>
      <c r="E92" s="3" t="s">
        <v>144</v>
      </c>
      <c r="F92" s="3"/>
      <c r="G92" s="4" t="b">
        <v>1</v>
      </c>
      <c r="H92" s="5"/>
      <c r="I92" s="4" t="b">
        <v>1</v>
      </c>
      <c r="J92" s="5"/>
      <c r="K92" s="5"/>
      <c r="L92" s="5"/>
      <c r="M92" s="5"/>
      <c r="N92" s="2" t="str">
        <f>Table1[[#This Row],[Level1]]</f>
        <v>Heminredning</v>
      </c>
      <c r="O92" s="2" t="str">
        <f>Table1[[#This Row],[Level1]]
&amp;IF(Table1[[#This Row],[Level2]]&lt;&gt;""," &gt; "&amp;Table1[[#This Row],[Level2]],"")</f>
        <v>Heminredning &gt; Barnrum</v>
      </c>
      <c r="P92" s="2" t="str">
        <f>Table1[[#This Row],[Level1]]
&amp;IF(Table1[[#This Row],[Level2]]&lt;&gt;""," &gt; "&amp;Table1[[#This Row],[Level2]],"")
&amp;IF(Table1[[#This Row],[Level3]]&lt;&gt;""," &gt; "&amp;Table1[[#This Row],[Level3]],"")</f>
        <v>Heminredning &gt; Barnrum &gt; Övrig inredning</v>
      </c>
      <c r="Q92" s="6" t="s">
        <v>671</v>
      </c>
    </row>
    <row r="93" spans="1:17" x14ac:dyDescent="0.25">
      <c r="A93" s="1" t="s">
        <v>8</v>
      </c>
      <c r="B9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fordon-battillbehor-batutrustning</v>
      </c>
      <c r="C93" s="3" t="s">
        <v>80</v>
      </c>
      <c r="D93" s="3" t="s">
        <v>102</v>
      </c>
      <c r="E93" s="3" t="s">
        <v>103</v>
      </c>
      <c r="F93" s="3"/>
      <c r="G93" s="4" t="b">
        <v>1</v>
      </c>
      <c r="H93" s="5"/>
      <c r="I93" s="4" t="b">
        <v>1</v>
      </c>
      <c r="J93" s="5"/>
      <c r="K93" s="5"/>
      <c r="L93" s="5"/>
      <c r="M93" s="5"/>
      <c r="N93" s="2" t="str">
        <f>Table1[[#This Row],[Level1]]</f>
        <v>Fordon</v>
      </c>
      <c r="O93" s="2" t="str">
        <f>Table1[[#This Row],[Level1]]
&amp;IF(Table1[[#This Row],[Level2]]&lt;&gt;""," &gt; "&amp;Table1[[#This Row],[Level2]],"")</f>
        <v>Fordon &gt; Båttillbehör</v>
      </c>
      <c r="P93" s="2" t="str">
        <f>Table1[[#This Row],[Level1]]
&amp;IF(Table1[[#This Row],[Level2]]&lt;&gt;""," &gt; "&amp;Table1[[#This Row],[Level2]],"")
&amp;IF(Table1[[#This Row],[Level3]]&lt;&gt;""," &gt; "&amp;Table1[[#This Row],[Level3]],"")</f>
        <v>Fordon &gt; Båttillbehör &gt; Båtutrustning</v>
      </c>
      <c r="Q93" s="6" t="s">
        <v>485</v>
      </c>
    </row>
    <row r="94" spans="1:17" x14ac:dyDescent="0.25">
      <c r="A94" s="1" t="s">
        <v>8</v>
      </c>
      <c r="B9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heminredning-belysning-arbetsbelysning</v>
      </c>
      <c r="C94" s="3" t="s">
        <v>145</v>
      </c>
      <c r="D94" s="3" t="s">
        <v>104</v>
      </c>
      <c r="E94" s="3" t="s">
        <v>105</v>
      </c>
      <c r="F94" s="3"/>
      <c r="G94" s="4" t="b">
        <v>1</v>
      </c>
      <c r="H94" s="5"/>
      <c r="I94" s="4" t="b">
        <v>1</v>
      </c>
      <c r="J94" s="5"/>
      <c r="K94" s="5"/>
      <c r="L94" s="5"/>
      <c r="M94" s="5"/>
      <c r="N94" s="2" t="str">
        <f>Table1[[#This Row],[Level1]]</f>
        <v>Heminredning</v>
      </c>
      <c r="O94" s="2" t="str">
        <f>Table1[[#This Row],[Level1]]
&amp;IF(Table1[[#This Row],[Level2]]&lt;&gt;""," &gt; "&amp;Table1[[#This Row],[Level2]],"")</f>
        <v>Heminredning &gt; Belysning</v>
      </c>
      <c r="P94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Arbetsbelysning</v>
      </c>
      <c r="Q94" s="6" t="s">
        <v>672</v>
      </c>
    </row>
    <row r="95" spans="1:17" x14ac:dyDescent="0.25">
      <c r="A95" s="1" t="s">
        <v>8</v>
      </c>
      <c r="B9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heminredning-belysning-batteridrivna-lampor</v>
      </c>
      <c r="C95" s="3" t="s">
        <v>145</v>
      </c>
      <c r="D95" s="3" t="s">
        <v>104</v>
      </c>
      <c r="E95" s="3" t="s">
        <v>106</v>
      </c>
      <c r="F95" s="3"/>
      <c r="G95" s="4" t="b">
        <v>1</v>
      </c>
      <c r="H95" s="5"/>
      <c r="I95" s="4" t="b">
        <v>1</v>
      </c>
      <c r="J95" s="5"/>
      <c r="K95" s="5"/>
      <c r="L95" s="5"/>
      <c r="M95" s="5"/>
      <c r="N95" s="2" t="str">
        <f>Table1[[#This Row],[Level1]]</f>
        <v>Heminredning</v>
      </c>
      <c r="O95" s="2" t="str">
        <f>Table1[[#This Row],[Level1]]
&amp;IF(Table1[[#This Row],[Level2]]&lt;&gt;""," &gt; "&amp;Table1[[#This Row],[Level2]],"")</f>
        <v>Heminredning &gt; Belysning</v>
      </c>
      <c r="P95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Batteridrivna lampor</v>
      </c>
      <c r="Q95" s="6" t="s">
        <v>673</v>
      </c>
    </row>
    <row r="96" spans="1:17" x14ac:dyDescent="0.25">
      <c r="A96" s="1" t="s">
        <v>8</v>
      </c>
      <c r="B9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heminredning-belysning-julbelysning</v>
      </c>
      <c r="C96" s="3" t="s">
        <v>145</v>
      </c>
      <c r="D96" s="3" t="s">
        <v>104</v>
      </c>
      <c r="E96" s="3" t="s">
        <v>115</v>
      </c>
      <c r="F96" s="3"/>
      <c r="G96" s="4" t="b">
        <v>1</v>
      </c>
      <c r="H96" s="5"/>
      <c r="I96" s="4" t="b">
        <v>1</v>
      </c>
      <c r="J96" s="5"/>
      <c r="K96" s="5"/>
      <c r="L96" s="5"/>
      <c r="M96" s="5"/>
      <c r="N96" s="2" t="str">
        <f>Table1[[#This Row],[Level1]]</f>
        <v>Heminredning</v>
      </c>
      <c r="O96" s="2" t="str">
        <f>Table1[[#This Row],[Level1]]
&amp;IF(Table1[[#This Row],[Level2]]&lt;&gt;""," &gt; "&amp;Table1[[#This Row],[Level2]],"")</f>
        <v>Heminredning &gt; Belysning</v>
      </c>
      <c r="P96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Julbelysning</v>
      </c>
      <c r="Q96" s="6" t="s">
        <v>674</v>
      </c>
    </row>
    <row r="97" spans="1:17" x14ac:dyDescent="0.25">
      <c r="A97" s="1" t="s">
        <v>8</v>
      </c>
      <c r="B9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heminredning-belysning-laslampor</v>
      </c>
      <c r="C97" s="3" t="s">
        <v>145</v>
      </c>
      <c r="D97" s="3" t="s">
        <v>104</v>
      </c>
      <c r="E97" s="3" t="s">
        <v>107</v>
      </c>
      <c r="F97" s="3"/>
      <c r="G97" s="4" t="b">
        <v>1</v>
      </c>
      <c r="H97" s="5"/>
      <c r="I97" s="4" t="b">
        <v>1</v>
      </c>
      <c r="J97" s="5"/>
      <c r="K97" s="5"/>
      <c r="L97" s="5"/>
      <c r="M97" s="5"/>
      <c r="N97" s="2" t="str">
        <f>Table1[[#This Row],[Level1]]</f>
        <v>Heminredning</v>
      </c>
      <c r="O97" s="2" t="str">
        <f>Table1[[#This Row],[Level1]]
&amp;IF(Table1[[#This Row],[Level2]]&lt;&gt;""," &gt; "&amp;Table1[[#This Row],[Level2]],"")</f>
        <v>Heminredning &gt; Belysning</v>
      </c>
      <c r="P97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Läslampor</v>
      </c>
      <c r="Q97" s="6" t="s">
        <v>675</v>
      </c>
    </row>
    <row r="98" spans="1:17" x14ac:dyDescent="0.25">
      <c r="A98" s="1" t="s">
        <v>8</v>
      </c>
      <c r="B9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heminredning-belysning-led-lampor</v>
      </c>
      <c r="C98" s="3" t="s">
        <v>145</v>
      </c>
      <c r="D98" s="3" t="s">
        <v>104</v>
      </c>
      <c r="E98" s="3" t="s">
        <v>403</v>
      </c>
      <c r="F98" s="3"/>
      <c r="G98" s="4" t="b">
        <v>1</v>
      </c>
      <c r="H98" s="5"/>
      <c r="I98" s="4" t="b">
        <v>1</v>
      </c>
      <c r="J98" s="5"/>
      <c r="K98" s="5"/>
      <c r="L98" s="5"/>
      <c r="M98" s="5"/>
      <c r="N98" s="2" t="str">
        <f>Table1[[#This Row],[Level1]]</f>
        <v>Heminredning</v>
      </c>
      <c r="O98" s="2" t="str">
        <f>Table1[[#This Row],[Level1]]
&amp;IF(Table1[[#This Row],[Level2]]&lt;&gt;""," &gt; "&amp;Table1[[#This Row],[Level2]],"")</f>
        <v>Heminredning &gt; Belysning</v>
      </c>
      <c r="P98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Led-lampor</v>
      </c>
      <c r="Q98" s="6" t="s">
        <v>676</v>
      </c>
    </row>
    <row r="99" spans="1:17" x14ac:dyDescent="0.25">
      <c r="A99" s="1" t="s">
        <v>8</v>
      </c>
      <c r="B9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heminredning-belysning-led-strips</v>
      </c>
      <c r="C99" s="3" t="s">
        <v>145</v>
      </c>
      <c r="D99" s="3" t="s">
        <v>104</v>
      </c>
      <c r="E99" s="3" t="s">
        <v>405</v>
      </c>
      <c r="F99" s="3"/>
      <c r="G99" s="4" t="b">
        <v>1</v>
      </c>
      <c r="H99" s="5"/>
      <c r="I99" s="4" t="b">
        <v>1</v>
      </c>
      <c r="J99" s="5"/>
      <c r="K99" s="5"/>
      <c r="L99" s="5"/>
      <c r="M99" s="5"/>
      <c r="N99" s="2" t="str">
        <f>Table1[[#This Row],[Level1]]</f>
        <v>Heminredning</v>
      </c>
      <c r="O99" s="2" t="str">
        <f>Table1[[#This Row],[Level1]]
&amp;IF(Table1[[#This Row],[Level2]]&lt;&gt;""," &gt; "&amp;Table1[[#This Row],[Level2]],"")</f>
        <v>Heminredning &gt; Belysning</v>
      </c>
      <c r="P99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Led-strips</v>
      </c>
      <c r="Q99" s="6" t="s">
        <v>677</v>
      </c>
    </row>
    <row r="100" spans="1:17" x14ac:dyDescent="0.25">
      <c r="A100" s="1" t="s">
        <v>8</v>
      </c>
      <c r="B10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heminredning-belysning-ljusslingor-inomhus</v>
      </c>
      <c r="C100" s="3" t="s">
        <v>145</v>
      </c>
      <c r="D100" s="3" t="s">
        <v>104</v>
      </c>
      <c r="E100" s="3" t="s">
        <v>109</v>
      </c>
      <c r="F100" s="3"/>
      <c r="G100" s="4" t="b">
        <v>1</v>
      </c>
      <c r="H100" s="5"/>
      <c r="I100" s="4" t="b">
        <v>1</v>
      </c>
      <c r="J100" s="5"/>
      <c r="K100" s="5"/>
      <c r="L100" s="5"/>
      <c r="M100" s="5"/>
      <c r="N100" s="2" t="str">
        <f>Table1[[#This Row],[Level1]]</f>
        <v>Heminredning</v>
      </c>
      <c r="O100" s="2" t="str">
        <f>Table1[[#This Row],[Level1]]
&amp;IF(Table1[[#This Row],[Level2]]&lt;&gt;""," &gt; "&amp;Table1[[#This Row],[Level2]],"")</f>
        <v>Heminredning &gt; Belysning</v>
      </c>
      <c r="P100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Ljusslingor inomhus</v>
      </c>
      <c r="Q100" s="6" t="s">
        <v>678</v>
      </c>
    </row>
    <row r="101" spans="1:17" x14ac:dyDescent="0.25">
      <c r="A101" s="1" t="s">
        <v>8</v>
      </c>
      <c r="B10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heminredning-belysning-ljusslingor-utomhus</v>
      </c>
      <c r="C101" s="3" t="s">
        <v>145</v>
      </c>
      <c r="D101" s="3" t="s">
        <v>104</v>
      </c>
      <c r="E101" s="3" t="s">
        <v>110</v>
      </c>
      <c r="F101" s="3"/>
      <c r="G101" s="4" t="b">
        <v>1</v>
      </c>
      <c r="H101" s="5"/>
      <c r="I101" s="4" t="b">
        <v>1</v>
      </c>
      <c r="J101" s="5"/>
      <c r="K101" s="5"/>
      <c r="L101" s="5"/>
      <c r="M101" s="5"/>
      <c r="N101" s="2" t="str">
        <f>Table1[[#This Row],[Level1]]</f>
        <v>Heminredning</v>
      </c>
      <c r="O101" s="2" t="str">
        <f>Table1[[#This Row],[Level1]]
&amp;IF(Table1[[#This Row],[Level2]]&lt;&gt;""," &gt; "&amp;Table1[[#This Row],[Level2]],"")</f>
        <v>Heminredning &gt; Belysning</v>
      </c>
      <c r="P101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Ljusslingor utomhus</v>
      </c>
      <c r="Q101" s="6" t="s">
        <v>679</v>
      </c>
    </row>
    <row r="102" spans="1:17" x14ac:dyDescent="0.25">
      <c r="A102" s="1" t="s">
        <v>8</v>
      </c>
      <c r="B10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heminredning-belysning-mysbelysning</v>
      </c>
      <c r="C102" s="3" t="s">
        <v>145</v>
      </c>
      <c r="D102" s="3" t="s">
        <v>104</v>
      </c>
      <c r="E102" s="3" t="s">
        <v>111</v>
      </c>
      <c r="F102" s="3"/>
      <c r="G102" s="4" t="b">
        <v>1</v>
      </c>
      <c r="H102" s="5"/>
      <c r="I102" s="4" t="b">
        <v>1</v>
      </c>
      <c r="J102" s="5"/>
      <c r="K102" s="5"/>
      <c r="L102" s="5"/>
      <c r="M102" s="5"/>
      <c r="N102" s="2" t="str">
        <f>Table1[[#This Row],[Level1]]</f>
        <v>Heminredning</v>
      </c>
      <c r="O102" s="2" t="str">
        <f>Table1[[#This Row],[Level1]]
&amp;IF(Table1[[#This Row],[Level2]]&lt;&gt;""," &gt; "&amp;Table1[[#This Row],[Level2]],"")</f>
        <v>Heminredning &gt; Belysning</v>
      </c>
      <c r="P102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Mysbelysning</v>
      </c>
      <c r="Q102" s="6" t="s">
        <v>680</v>
      </c>
    </row>
    <row r="103" spans="1:17" x14ac:dyDescent="0.25">
      <c r="A103" s="1" t="s">
        <v>8</v>
      </c>
      <c r="B10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heminredning-belysning-ovrig-belysning</v>
      </c>
      <c r="C103" s="3" t="s">
        <v>145</v>
      </c>
      <c r="D103" s="3" t="s">
        <v>104</v>
      </c>
      <c r="E103" s="3" t="s">
        <v>116</v>
      </c>
      <c r="F103" s="3"/>
      <c r="G103" s="4" t="b">
        <v>1</v>
      </c>
      <c r="H103" s="5"/>
      <c r="I103" s="4" t="b">
        <v>1</v>
      </c>
      <c r="J103" s="5"/>
      <c r="K103" s="5"/>
      <c r="L103" s="5"/>
      <c r="M103" s="5"/>
      <c r="N103" s="2" t="str">
        <f>Table1[[#This Row],[Level1]]</f>
        <v>Heminredning</v>
      </c>
      <c r="O103" s="2" t="str">
        <f>Table1[[#This Row],[Level1]]
&amp;IF(Table1[[#This Row],[Level2]]&lt;&gt;""," &gt; "&amp;Table1[[#This Row],[Level2]],"")</f>
        <v>Heminredning &gt; Belysning</v>
      </c>
      <c r="P103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Övrig belysning</v>
      </c>
      <c r="Q103" s="6" t="s">
        <v>681</v>
      </c>
    </row>
    <row r="104" spans="1:17" x14ac:dyDescent="0.25">
      <c r="A104" s="1" t="s">
        <v>8</v>
      </c>
      <c r="B10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heminredning-belysning-solcellsbelysning</v>
      </c>
      <c r="C104" s="3" t="s">
        <v>145</v>
      </c>
      <c r="D104" s="3" t="s">
        <v>104</v>
      </c>
      <c r="E104" s="3" t="s">
        <v>113</v>
      </c>
      <c r="F104" s="3"/>
      <c r="G104" s="4" t="b">
        <v>1</v>
      </c>
      <c r="H104" s="5"/>
      <c r="I104" s="4" t="b">
        <v>1</v>
      </c>
      <c r="J104" s="5"/>
      <c r="K104" s="5"/>
      <c r="L104" s="5"/>
      <c r="M104" s="5"/>
      <c r="N104" s="2" t="str">
        <f>Table1[[#This Row],[Level1]]</f>
        <v>Heminredning</v>
      </c>
      <c r="O104" s="2" t="str">
        <f>Table1[[#This Row],[Level1]]
&amp;IF(Table1[[#This Row],[Level2]]&lt;&gt;""," &gt; "&amp;Table1[[#This Row],[Level2]],"")</f>
        <v>Heminredning &gt; Belysning</v>
      </c>
      <c r="P104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Solcellsbelysning</v>
      </c>
      <c r="Q104" s="6" t="s">
        <v>683</v>
      </c>
    </row>
    <row r="105" spans="1:17" x14ac:dyDescent="0.25">
      <c r="A105" s="1" t="s">
        <v>8</v>
      </c>
      <c r="B10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heminredning-belysning-spotlights</v>
      </c>
      <c r="C105" s="3" t="s">
        <v>145</v>
      </c>
      <c r="D105" s="3" t="s">
        <v>104</v>
      </c>
      <c r="E105" s="3" t="s">
        <v>108</v>
      </c>
      <c r="F105" s="3"/>
      <c r="G105" s="4" t="b">
        <v>1</v>
      </c>
      <c r="H105" s="5"/>
      <c r="I105" s="4" t="b">
        <v>1</v>
      </c>
      <c r="J105" s="5"/>
      <c r="K105" s="5"/>
      <c r="L105" s="5"/>
      <c r="M105" s="5"/>
      <c r="N105" s="2" t="str">
        <f>Table1[[#This Row],[Level1]]</f>
        <v>Heminredning</v>
      </c>
      <c r="O105" s="2" t="str">
        <f>Table1[[#This Row],[Level1]]
&amp;IF(Table1[[#This Row],[Level2]]&lt;&gt;""," &gt; "&amp;Table1[[#This Row],[Level2]],"")</f>
        <v>Heminredning &gt; Belysning</v>
      </c>
      <c r="P105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Spotlights</v>
      </c>
      <c r="Q105" s="6" t="s">
        <v>684</v>
      </c>
    </row>
    <row r="106" spans="1:17" x14ac:dyDescent="0.25">
      <c r="A106" s="1" t="s">
        <v>8</v>
      </c>
      <c r="B10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heminredning-belysning-utomhusbelysning</v>
      </c>
      <c r="C106" s="3" t="s">
        <v>145</v>
      </c>
      <c r="D106" s="3" t="s">
        <v>104</v>
      </c>
      <c r="E106" s="3" t="s">
        <v>114</v>
      </c>
      <c r="F106" s="3"/>
      <c r="G106" s="4" t="b">
        <v>1</v>
      </c>
      <c r="H106" s="5"/>
      <c r="I106" s="4" t="b">
        <v>1</v>
      </c>
      <c r="J106" s="5"/>
      <c r="K106" s="5"/>
      <c r="L106" s="5"/>
      <c r="M106" s="5"/>
      <c r="N106" s="2" t="str">
        <f>Table1[[#This Row],[Level1]]</f>
        <v>Heminredning</v>
      </c>
      <c r="O106" s="2" t="str">
        <f>Table1[[#This Row],[Level1]]
&amp;IF(Table1[[#This Row],[Level2]]&lt;&gt;""," &gt; "&amp;Table1[[#This Row],[Level2]],"")</f>
        <v>Heminredning &gt; Belysning</v>
      </c>
      <c r="P106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Utomhusbelysning</v>
      </c>
      <c r="Q106" s="6" t="s">
        <v>685</v>
      </c>
    </row>
    <row r="107" spans="1:17" x14ac:dyDescent="0.25">
      <c r="A107" s="1" t="s">
        <v>8</v>
      </c>
      <c r="B10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heminredning-belysning-utomhusspotlights-och-stralkastare</v>
      </c>
      <c r="C107" s="3" t="s">
        <v>145</v>
      </c>
      <c r="D107" s="3" t="s">
        <v>104</v>
      </c>
      <c r="E107" s="3" t="s">
        <v>404</v>
      </c>
      <c r="F107" s="3"/>
      <c r="G107" s="4" t="b">
        <v>1</v>
      </c>
      <c r="H107" s="5"/>
      <c r="I107" s="4" t="b">
        <v>1</v>
      </c>
      <c r="J107" s="5"/>
      <c r="K107" s="5"/>
      <c r="L107" s="5"/>
      <c r="M107" s="5"/>
      <c r="N107" s="2" t="str">
        <f>Table1[[#This Row],[Level1]]</f>
        <v>Heminredning</v>
      </c>
      <c r="O107" s="2" t="str">
        <f>Table1[[#This Row],[Level1]]
&amp;IF(Table1[[#This Row],[Level2]]&lt;&gt;""," &gt; "&amp;Table1[[#This Row],[Level2]],"")</f>
        <v>Heminredning &gt; Belysning</v>
      </c>
      <c r="P107" s="2" t="str">
        <f>Table1[[#This Row],[Level1]]
&amp;IF(Table1[[#This Row],[Level2]]&lt;&gt;""," &gt; "&amp;Table1[[#This Row],[Level2]],"")
&amp;IF(Table1[[#This Row],[Level3]]&lt;&gt;""," &gt; "&amp;Table1[[#This Row],[Level3]],"")</f>
        <v>Heminredning &gt; Belysning &gt; Utomhusspotlights &amp; strålkastare</v>
      </c>
      <c r="Q107" s="6" t="s">
        <v>686</v>
      </c>
    </row>
    <row r="108" spans="1:17" x14ac:dyDescent="0.25">
      <c r="A108" s="1" t="s">
        <v>8</v>
      </c>
      <c r="B10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fordon-bilbelysning-extraljus-och-varselljus</v>
      </c>
      <c r="C108" s="3" t="s">
        <v>80</v>
      </c>
      <c r="D108" s="3" t="s">
        <v>84</v>
      </c>
      <c r="E108" s="3" t="s">
        <v>390</v>
      </c>
      <c r="F108" s="3"/>
      <c r="G108" s="4" t="b">
        <v>1</v>
      </c>
      <c r="H108" s="5"/>
      <c r="I108" s="4" t="b">
        <v>1</v>
      </c>
      <c r="J108" s="5"/>
      <c r="K108" s="5"/>
      <c r="L108" s="5"/>
      <c r="M108" s="5"/>
      <c r="N108" s="2" t="str">
        <f>Table1[[#This Row],[Level1]]</f>
        <v>Fordon</v>
      </c>
      <c r="O108" s="2" t="str">
        <f>Table1[[#This Row],[Level1]]
&amp;IF(Table1[[#This Row],[Level2]]&lt;&gt;""," &gt; "&amp;Table1[[#This Row],[Level2]],"")</f>
        <v>Fordon &gt; Bilbelysning</v>
      </c>
      <c r="P108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 &gt; Extraljus &amp; varselljus</v>
      </c>
      <c r="Q108" s="6" t="s">
        <v>486</v>
      </c>
    </row>
    <row r="109" spans="1:17" x14ac:dyDescent="0.25">
      <c r="A109" s="1" t="s">
        <v>8</v>
      </c>
      <c r="B10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fordon-bilbelysning-halogen-lampor</v>
      </c>
      <c r="C109" s="3" t="s">
        <v>80</v>
      </c>
      <c r="D109" s="3" t="s">
        <v>84</v>
      </c>
      <c r="E109" s="3" t="s">
        <v>86</v>
      </c>
      <c r="F109" s="3"/>
      <c r="G109" s="4" t="b">
        <v>1</v>
      </c>
      <c r="H109" s="5"/>
      <c r="I109" s="4" t="b">
        <v>1</v>
      </c>
      <c r="J109" s="5"/>
      <c r="K109" s="5"/>
      <c r="L109" s="5"/>
      <c r="M109" s="5"/>
      <c r="N109" s="2" t="str">
        <f>Table1[[#This Row],[Level1]]</f>
        <v>Fordon</v>
      </c>
      <c r="O109" s="2" t="str">
        <f>Table1[[#This Row],[Level1]]
&amp;IF(Table1[[#This Row],[Level2]]&lt;&gt;""," &gt; "&amp;Table1[[#This Row],[Level2]],"")</f>
        <v>Fordon &gt; Bilbelysning</v>
      </c>
      <c r="P109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 &gt; Halogen-lampor</v>
      </c>
      <c r="Q109" s="6" t="s">
        <v>487</v>
      </c>
    </row>
    <row r="110" spans="1:17" x14ac:dyDescent="0.25">
      <c r="A110" s="1" t="s">
        <v>8</v>
      </c>
      <c r="B11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fordon-bilbelysning-interiorbelysning</v>
      </c>
      <c r="C110" s="3" t="s">
        <v>80</v>
      </c>
      <c r="D110" s="3" t="s">
        <v>84</v>
      </c>
      <c r="E110" s="3" t="s">
        <v>85</v>
      </c>
      <c r="F110" s="3"/>
      <c r="G110" s="4" t="b">
        <v>1</v>
      </c>
      <c r="H110" s="5"/>
      <c r="I110" s="4" t="b">
        <v>1</v>
      </c>
      <c r="J110" s="5"/>
      <c r="K110" s="5"/>
      <c r="L110" s="5"/>
      <c r="M110" s="5"/>
      <c r="N110" s="2" t="str">
        <f>Table1[[#This Row],[Level1]]</f>
        <v>Fordon</v>
      </c>
      <c r="O110" s="2" t="str">
        <f>Table1[[#This Row],[Level1]]
&amp;IF(Table1[[#This Row],[Level2]]&lt;&gt;""," &gt; "&amp;Table1[[#This Row],[Level2]],"")</f>
        <v>Fordon &gt; Bilbelysning</v>
      </c>
      <c r="P110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 &gt; Interiörbelysning</v>
      </c>
      <c r="Q110" s="6" t="s">
        <v>488</v>
      </c>
    </row>
    <row r="111" spans="1:17" x14ac:dyDescent="0.25">
      <c r="A111" s="1" t="s">
        <v>8</v>
      </c>
      <c r="B11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fordon-bilbelysning-led-och-diodlampor</v>
      </c>
      <c r="C111" s="3" t="s">
        <v>80</v>
      </c>
      <c r="D111" s="3" t="s">
        <v>84</v>
      </c>
      <c r="E111" s="3" t="s">
        <v>388</v>
      </c>
      <c r="F111" s="3"/>
      <c r="G111" s="4" t="b">
        <v>1</v>
      </c>
      <c r="H111" s="5"/>
      <c r="I111" s="4" t="b">
        <v>1</v>
      </c>
      <c r="J111" s="5"/>
      <c r="K111" s="5"/>
      <c r="L111" s="5"/>
      <c r="M111" s="5"/>
      <c r="N111" s="2" t="str">
        <f>Table1[[#This Row],[Level1]]</f>
        <v>Fordon</v>
      </c>
      <c r="O111" s="2" t="str">
        <f>Table1[[#This Row],[Level1]]
&amp;IF(Table1[[#This Row],[Level2]]&lt;&gt;""," &gt; "&amp;Table1[[#This Row],[Level2]],"")</f>
        <v>Fordon &gt; Bilbelysning</v>
      </c>
      <c r="P111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 &gt; Led- &amp; diodlampor</v>
      </c>
      <c r="Q111" s="6" t="s">
        <v>489</v>
      </c>
    </row>
    <row r="112" spans="1:17" x14ac:dyDescent="0.25">
      <c r="A112" s="1" t="s">
        <v>8</v>
      </c>
      <c r="B11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fordon-bilbelysning-led-konverteringsset-helljus-/-halvljus</v>
      </c>
      <c r="C112" s="3" t="s">
        <v>80</v>
      </c>
      <c r="D112" s="3" t="s">
        <v>84</v>
      </c>
      <c r="E112" s="3" t="s">
        <v>389</v>
      </c>
      <c r="F112" s="3"/>
      <c r="G112" s="4" t="b">
        <v>1</v>
      </c>
      <c r="H112" s="5"/>
      <c r="I112" s="4" t="b">
        <v>1</v>
      </c>
      <c r="J112" s="5"/>
      <c r="K112" s="5"/>
      <c r="L112" s="5"/>
      <c r="M112" s="5"/>
      <c r="N112" s="2" t="str">
        <f>Table1[[#This Row],[Level1]]</f>
        <v>Fordon</v>
      </c>
      <c r="O112" s="2" t="str">
        <f>Table1[[#This Row],[Level1]]
&amp;IF(Table1[[#This Row],[Level2]]&lt;&gt;""," &gt; "&amp;Table1[[#This Row],[Level2]],"")</f>
        <v>Fordon &gt; Bilbelysning</v>
      </c>
      <c r="P112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 &gt; Led konverteringsset helljus / halvljus</v>
      </c>
      <c r="Q112" s="6" t="s">
        <v>490</v>
      </c>
    </row>
    <row r="113" spans="1:17" x14ac:dyDescent="0.25">
      <c r="A113" s="1" t="s">
        <v>8</v>
      </c>
      <c r="B11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fordon-bilbelysning-ovrig-bilbelysning</v>
      </c>
      <c r="C113" s="3" t="s">
        <v>80</v>
      </c>
      <c r="D113" s="3" t="s">
        <v>84</v>
      </c>
      <c r="E113" s="3" t="s">
        <v>391</v>
      </c>
      <c r="F113" s="3"/>
      <c r="G113" s="4" t="b">
        <v>1</v>
      </c>
      <c r="H113" s="5"/>
      <c r="I113" s="4" t="b">
        <v>1</v>
      </c>
      <c r="J113" s="5"/>
      <c r="K113" s="5"/>
      <c r="L113" s="5"/>
      <c r="M113" s="5"/>
      <c r="N113" s="2" t="str">
        <f>Table1[[#This Row],[Level1]]</f>
        <v>Fordon</v>
      </c>
      <c r="O113" s="2" t="str">
        <f>Table1[[#This Row],[Level1]]
&amp;IF(Table1[[#This Row],[Level2]]&lt;&gt;""," &gt; "&amp;Table1[[#This Row],[Level2]],"")</f>
        <v>Fordon &gt; Bilbelysning</v>
      </c>
      <c r="P113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 &gt; Övrig bilbelysning</v>
      </c>
      <c r="Q113" s="6" t="s">
        <v>491</v>
      </c>
    </row>
    <row r="114" spans="1:17" x14ac:dyDescent="0.25">
      <c r="A114" s="1" t="s">
        <v>8</v>
      </c>
      <c r="B11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fordon-bilbelysning-xenon-lampor</v>
      </c>
      <c r="C114" s="3" t="s">
        <v>80</v>
      </c>
      <c r="D114" s="3" t="s">
        <v>84</v>
      </c>
      <c r="E114" s="3" t="s">
        <v>87</v>
      </c>
      <c r="F114" s="3"/>
      <c r="G114" s="4" t="b">
        <v>1</v>
      </c>
      <c r="H114" s="5"/>
      <c r="I114" s="4" t="b">
        <v>1</v>
      </c>
      <c r="J114" s="5"/>
      <c r="K114" s="5"/>
      <c r="L114" s="5"/>
      <c r="M114" s="5"/>
      <c r="N114" s="2" t="str">
        <f>Table1[[#This Row],[Level1]]</f>
        <v>Fordon</v>
      </c>
      <c r="O114" s="2" t="str">
        <f>Table1[[#This Row],[Level1]]
&amp;IF(Table1[[#This Row],[Level2]]&lt;&gt;""," &gt; "&amp;Table1[[#This Row],[Level2]],"")</f>
        <v>Fordon &gt; Bilbelysning</v>
      </c>
      <c r="P114" s="2" t="str">
        <f>Table1[[#This Row],[Level1]]
&amp;IF(Table1[[#This Row],[Level2]]&lt;&gt;""," &gt; "&amp;Table1[[#This Row],[Level2]],"")
&amp;IF(Table1[[#This Row],[Level3]]&lt;&gt;""," &gt; "&amp;Table1[[#This Row],[Level3]],"")</f>
        <v>Fordon &gt; Bilbelysning &gt; Xenon-lampor</v>
      </c>
      <c r="Q114" s="6" t="s">
        <v>492</v>
      </c>
    </row>
    <row r="115" spans="1:17" x14ac:dyDescent="0.25">
      <c r="A115" s="1" t="s">
        <v>8</v>
      </c>
      <c r="B11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fordon-bildiagnostik-och-el-felkodslasare</v>
      </c>
      <c r="C115" s="3" t="s">
        <v>80</v>
      </c>
      <c r="D115" s="3" t="s">
        <v>454</v>
      </c>
      <c r="E115" s="3" t="s">
        <v>81</v>
      </c>
      <c r="F115" s="3"/>
      <c r="G115" s="4" t="b">
        <v>1</v>
      </c>
      <c r="H115" s="5"/>
      <c r="I115" s="4" t="b">
        <v>1</v>
      </c>
      <c r="J115" s="5"/>
      <c r="K115" s="5"/>
      <c r="L115" s="5"/>
      <c r="M115" s="5"/>
      <c r="N115" s="2" t="str">
        <f>Table1[[#This Row],[Level1]]</f>
        <v>Fordon</v>
      </c>
      <c r="O115" s="2" t="str">
        <f>Table1[[#This Row],[Level1]]
&amp;IF(Table1[[#This Row],[Level2]]&lt;&gt;""," &gt; "&amp;Table1[[#This Row],[Level2]],"")</f>
        <v>Fordon &gt; Bildiagnostik &amp; el</v>
      </c>
      <c r="P115" s="2" t="str">
        <f>Table1[[#This Row],[Level1]]
&amp;IF(Table1[[#This Row],[Level2]]&lt;&gt;""," &gt; "&amp;Table1[[#This Row],[Level2]],"")
&amp;IF(Table1[[#This Row],[Level3]]&lt;&gt;""," &gt; "&amp;Table1[[#This Row],[Level3]],"")</f>
        <v>Fordon &gt; Bildiagnostik &amp; el &gt; Felkodsläsare</v>
      </c>
      <c r="Q115" s="6" t="s">
        <v>493</v>
      </c>
    </row>
    <row r="116" spans="1:17" x14ac:dyDescent="0.25">
      <c r="A116" s="1" t="s">
        <v>8</v>
      </c>
      <c r="B11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fordon-bildiagnostik-och-el-laddkablar-for-elbil</v>
      </c>
      <c r="C116" s="3" t="s">
        <v>80</v>
      </c>
      <c r="D116" s="3" t="s">
        <v>454</v>
      </c>
      <c r="E116" s="3" t="s">
        <v>82</v>
      </c>
      <c r="F116" s="3"/>
      <c r="G116" s="4" t="b">
        <v>1</v>
      </c>
      <c r="H116" s="5"/>
      <c r="I116" s="4" t="b">
        <v>1</v>
      </c>
      <c r="J116" s="5"/>
      <c r="K116" s="5"/>
      <c r="L116" s="5"/>
      <c r="M116" s="5"/>
      <c r="N116" s="2" t="str">
        <f>Table1[[#This Row],[Level1]]</f>
        <v>Fordon</v>
      </c>
      <c r="O116" s="2" t="str">
        <f>Table1[[#This Row],[Level1]]
&amp;IF(Table1[[#This Row],[Level2]]&lt;&gt;""," &gt; "&amp;Table1[[#This Row],[Level2]],"")</f>
        <v>Fordon &gt; Bildiagnostik &amp; el</v>
      </c>
      <c r="P116" s="2" t="str">
        <f>Table1[[#This Row],[Level1]]
&amp;IF(Table1[[#This Row],[Level2]]&lt;&gt;""," &gt; "&amp;Table1[[#This Row],[Level2]],"")
&amp;IF(Table1[[#This Row],[Level3]]&lt;&gt;""," &gt; "&amp;Table1[[#This Row],[Level3]],"")</f>
        <v>Fordon &gt; Bildiagnostik &amp; el &gt; Laddkablar för elbil</v>
      </c>
      <c r="Q116" s="6" t="s">
        <v>495</v>
      </c>
    </row>
    <row r="117" spans="1:17" x14ac:dyDescent="0.25">
      <c r="A117" s="1" t="s">
        <v>8</v>
      </c>
      <c r="B11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fordon-bildiagnostik-och-el-mat-och-testinstrument</v>
      </c>
      <c r="C117" s="3" t="s">
        <v>80</v>
      </c>
      <c r="D117" s="3" t="s">
        <v>454</v>
      </c>
      <c r="E117" s="3" t="s">
        <v>83</v>
      </c>
      <c r="F117" s="3"/>
      <c r="G117" s="4" t="b">
        <v>1</v>
      </c>
      <c r="H117" s="5"/>
      <c r="I117" s="4" t="b">
        <v>1</v>
      </c>
      <c r="J117" s="5"/>
      <c r="K117" s="5"/>
      <c r="L117" s="5"/>
      <c r="M117" s="5"/>
      <c r="N117" s="2" t="str">
        <f>Table1[[#This Row],[Level1]]</f>
        <v>Fordon</v>
      </c>
      <c r="O117" s="2" t="str">
        <f>Table1[[#This Row],[Level1]]
&amp;IF(Table1[[#This Row],[Level2]]&lt;&gt;""," &gt; "&amp;Table1[[#This Row],[Level2]],"")</f>
        <v>Fordon &gt; Bildiagnostik &amp; el</v>
      </c>
      <c r="P117" s="2" t="str">
        <f>Table1[[#This Row],[Level1]]
&amp;IF(Table1[[#This Row],[Level2]]&lt;&gt;""," &gt; "&amp;Table1[[#This Row],[Level2]],"")
&amp;IF(Table1[[#This Row],[Level3]]&lt;&gt;""," &gt; "&amp;Table1[[#This Row],[Level3]],"")</f>
        <v>Fordon &gt; Bildiagnostik &amp; el &gt; Mät- &amp; testinstrument</v>
      </c>
      <c r="Q117" s="6" t="s">
        <v>496</v>
      </c>
    </row>
    <row r="118" spans="1:17" x14ac:dyDescent="0.25">
      <c r="A118" s="1" t="s">
        <v>8</v>
      </c>
      <c r="B11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fordon-bildiagnostik-och-el-starthjalp-och-batteriladdare</v>
      </c>
      <c r="C118" s="3" t="s">
        <v>80</v>
      </c>
      <c r="D118" s="3" t="s">
        <v>454</v>
      </c>
      <c r="E118" s="3" t="s">
        <v>387</v>
      </c>
      <c r="F118" s="3"/>
      <c r="G118" s="4" t="b">
        <v>1</v>
      </c>
      <c r="H118" s="5"/>
      <c r="I118" s="4" t="b">
        <v>1</v>
      </c>
      <c r="J118" s="5"/>
      <c r="K118" s="5"/>
      <c r="L118" s="5"/>
      <c r="M118" s="5"/>
      <c r="N118" s="2" t="str">
        <f>Table1[[#This Row],[Level1]]</f>
        <v>Fordon</v>
      </c>
      <c r="O118" s="2" t="str">
        <f>Table1[[#This Row],[Level1]]
&amp;IF(Table1[[#This Row],[Level2]]&lt;&gt;""," &gt; "&amp;Table1[[#This Row],[Level2]],"")</f>
        <v>Fordon &gt; Bildiagnostik &amp; el</v>
      </c>
      <c r="P118" s="2" t="str">
        <f>Table1[[#This Row],[Level1]]
&amp;IF(Table1[[#This Row],[Level2]]&lt;&gt;""," &gt; "&amp;Table1[[#This Row],[Level2]],"")
&amp;IF(Table1[[#This Row],[Level3]]&lt;&gt;""," &gt; "&amp;Table1[[#This Row],[Level3]],"")</f>
        <v>Fordon &gt; Bildiagnostik &amp; el &gt; Starthjälp &amp; batteriladdare</v>
      </c>
      <c r="Q118" s="6" t="s">
        <v>497</v>
      </c>
    </row>
    <row r="119" spans="1:17" x14ac:dyDescent="0.25">
      <c r="A119" s="1" t="s">
        <v>8</v>
      </c>
      <c r="B11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fordon-billjud-och-video-bilkameror-och-dashcams</v>
      </c>
      <c r="C119" s="3" t="s">
        <v>80</v>
      </c>
      <c r="D119" s="3" t="s">
        <v>453</v>
      </c>
      <c r="E119" s="3" t="s">
        <v>383</v>
      </c>
      <c r="F119" s="3"/>
      <c r="G119" s="4" t="b">
        <v>1</v>
      </c>
      <c r="H119" s="5"/>
      <c r="I119" s="4" t="b">
        <v>1</v>
      </c>
      <c r="J119" s="5"/>
      <c r="K119" s="5"/>
      <c r="L119" s="5"/>
      <c r="M119" s="5"/>
      <c r="N119" s="2" t="str">
        <f>Table1[[#This Row],[Level1]]</f>
        <v>Fordon</v>
      </c>
      <c r="O119" s="2" t="str">
        <f>Table1[[#This Row],[Level1]]
&amp;IF(Table1[[#This Row],[Level2]]&lt;&gt;""," &gt; "&amp;Table1[[#This Row],[Level2]],"")</f>
        <v>Fordon &gt; Billjud &amp; video</v>
      </c>
      <c r="P119" s="2" t="str">
        <f>Table1[[#This Row],[Level1]]
&amp;IF(Table1[[#This Row],[Level2]]&lt;&gt;""," &gt; "&amp;Table1[[#This Row],[Level2]],"")
&amp;IF(Table1[[#This Row],[Level3]]&lt;&gt;""," &gt; "&amp;Table1[[#This Row],[Level3]],"")</f>
        <v>Fordon &gt; Billjud &amp; video &gt; Bilkameror &amp; dashcams</v>
      </c>
      <c r="Q119" s="6" t="s">
        <v>498</v>
      </c>
    </row>
    <row r="120" spans="1:17" x14ac:dyDescent="0.25">
      <c r="A120" s="1" t="s">
        <v>8</v>
      </c>
      <c r="B12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fordon-billjud-och-video-bilstereo-och-hogtalare</v>
      </c>
      <c r="C120" s="3" t="s">
        <v>80</v>
      </c>
      <c r="D120" s="3" t="s">
        <v>453</v>
      </c>
      <c r="E120" s="3" t="s">
        <v>384</v>
      </c>
      <c r="F120" s="3"/>
      <c r="G120" s="4" t="b">
        <v>1</v>
      </c>
      <c r="H120" s="5"/>
      <c r="I120" s="4" t="b">
        <v>1</v>
      </c>
      <c r="J120" s="5"/>
      <c r="K120" s="5"/>
      <c r="L120" s="5"/>
      <c r="M120" s="5"/>
      <c r="N120" s="2" t="str">
        <f>Table1[[#This Row],[Level1]]</f>
        <v>Fordon</v>
      </c>
      <c r="O120" s="2" t="str">
        <f>Table1[[#This Row],[Level1]]
&amp;IF(Table1[[#This Row],[Level2]]&lt;&gt;""," &gt; "&amp;Table1[[#This Row],[Level2]],"")</f>
        <v>Fordon &gt; Billjud &amp; video</v>
      </c>
      <c r="P120" s="2" t="str">
        <f>Table1[[#This Row],[Level1]]
&amp;IF(Table1[[#This Row],[Level2]]&lt;&gt;""," &gt; "&amp;Table1[[#This Row],[Level2]],"")
&amp;IF(Table1[[#This Row],[Level3]]&lt;&gt;""," &gt; "&amp;Table1[[#This Row],[Level3]],"")</f>
        <v>Fordon &gt; Billjud &amp; video &gt; Bilstereo &amp; högtalare</v>
      </c>
      <c r="Q120" s="6" t="s">
        <v>499</v>
      </c>
    </row>
    <row r="121" spans="1:17" x14ac:dyDescent="0.25">
      <c r="A121" s="1" t="s">
        <v>8</v>
      </c>
      <c r="B12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fordon-billjud-och-video-fm-sandare-och-mottagare</v>
      </c>
      <c r="C121" s="3" t="s">
        <v>80</v>
      </c>
      <c r="D121" s="3" t="s">
        <v>453</v>
      </c>
      <c r="E121" s="3" t="s">
        <v>385</v>
      </c>
      <c r="F121" s="3"/>
      <c r="G121" s="4" t="b">
        <v>1</v>
      </c>
      <c r="H121" s="5"/>
      <c r="I121" s="4" t="b">
        <v>1</v>
      </c>
      <c r="J121" s="5"/>
      <c r="K121" s="5"/>
      <c r="L121" s="5"/>
      <c r="M121" s="5"/>
      <c r="N121" s="2" t="str">
        <f>Table1[[#This Row],[Level1]]</f>
        <v>Fordon</v>
      </c>
      <c r="O121" s="2" t="str">
        <f>Table1[[#This Row],[Level1]]
&amp;IF(Table1[[#This Row],[Level2]]&lt;&gt;""," &gt; "&amp;Table1[[#This Row],[Level2]],"")</f>
        <v>Fordon &gt; Billjud &amp; video</v>
      </c>
      <c r="P121" s="2" t="str">
        <f>Table1[[#This Row],[Level1]]
&amp;IF(Table1[[#This Row],[Level2]]&lt;&gt;""," &gt; "&amp;Table1[[#This Row],[Level2]],"")
&amp;IF(Table1[[#This Row],[Level3]]&lt;&gt;""," &gt; "&amp;Table1[[#This Row],[Level3]],"")</f>
        <v>Fordon &gt; Billjud &amp; video &gt; Fm-sändare &amp; mottagare</v>
      </c>
      <c r="Q121" s="6" t="s">
        <v>500</v>
      </c>
    </row>
    <row r="122" spans="1:17" x14ac:dyDescent="0.25">
      <c r="A122" s="1" t="s">
        <v>8</v>
      </c>
      <c r="B12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fordon-biltillbehor-bilinredning</v>
      </c>
      <c r="C122" s="3" t="s">
        <v>80</v>
      </c>
      <c r="D122" s="3" t="s">
        <v>88</v>
      </c>
      <c r="E122" s="3" t="s">
        <v>91</v>
      </c>
      <c r="F122" s="3"/>
      <c r="G122" s="4" t="b">
        <v>1</v>
      </c>
      <c r="H122" s="5"/>
      <c r="I122" s="4" t="b">
        <v>1</v>
      </c>
      <c r="J122" s="5"/>
      <c r="K122" s="5"/>
      <c r="L122" s="5"/>
      <c r="M122" s="5"/>
      <c r="N122" s="2" t="str">
        <f>Table1[[#This Row],[Level1]]</f>
        <v>Fordon</v>
      </c>
      <c r="O122" s="2" t="str">
        <f>Table1[[#This Row],[Level1]]
&amp;IF(Table1[[#This Row],[Level2]]&lt;&gt;""," &gt; "&amp;Table1[[#This Row],[Level2]],"")</f>
        <v>Fordon &gt; Biltillbehör</v>
      </c>
      <c r="P122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 &gt; Bilinredning</v>
      </c>
      <c r="Q122" s="6" t="s">
        <v>502</v>
      </c>
    </row>
    <row r="123" spans="1:17" x14ac:dyDescent="0.25">
      <c r="A123" s="1" t="s">
        <v>8</v>
      </c>
      <c r="B12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fordon-biltillbehor-billaddare</v>
      </c>
      <c r="C123" s="3" t="s">
        <v>80</v>
      </c>
      <c r="D123" s="3" t="s">
        <v>88</v>
      </c>
      <c r="E123" s="3" t="s">
        <v>90</v>
      </c>
      <c r="F123" s="3"/>
      <c r="G123" s="4" t="b">
        <v>1</v>
      </c>
      <c r="H123" s="5"/>
      <c r="I123" s="4" t="b">
        <v>1</v>
      </c>
      <c r="J123" s="5"/>
      <c r="K123" s="5"/>
      <c r="L123" s="5"/>
      <c r="M123" s="5"/>
      <c r="N123" s="2" t="str">
        <f>Table1[[#This Row],[Level1]]</f>
        <v>Fordon</v>
      </c>
      <c r="O123" s="2" t="str">
        <f>Table1[[#This Row],[Level1]]
&amp;IF(Table1[[#This Row],[Level2]]&lt;&gt;""," &gt; "&amp;Table1[[#This Row],[Level2]],"")</f>
        <v>Fordon &gt; Biltillbehör</v>
      </c>
      <c r="P123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 &gt; Billaddare</v>
      </c>
      <c r="Q123" s="6" t="s">
        <v>503</v>
      </c>
    </row>
    <row r="124" spans="1:17" x14ac:dyDescent="0.25">
      <c r="A124" s="1" t="s">
        <v>8</v>
      </c>
      <c r="B12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fordon-biltillbehor-gps-och-gps-tillbehor</v>
      </c>
      <c r="C124" s="3" t="s">
        <v>80</v>
      </c>
      <c r="D124" s="3" t="s">
        <v>88</v>
      </c>
      <c r="E124" s="3" t="s">
        <v>393</v>
      </c>
      <c r="F124" s="3"/>
      <c r="G124" s="4" t="b">
        <v>1</v>
      </c>
      <c r="H124" s="5"/>
      <c r="I124" s="4" t="b">
        <v>1</v>
      </c>
      <c r="J124" s="5"/>
      <c r="K124" s="5"/>
      <c r="L124" s="5"/>
      <c r="M124" s="5"/>
      <c r="N124" s="2" t="str">
        <f>Table1[[#This Row],[Level1]]</f>
        <v>Fordon</v>
      </c>
      <c r="O124" s="2" t="str">
        <f>Table1[[#This Row],[Level1]]
&amp;IF(Table1[[#This Row],[Level2]]&lt;&gt;""," &gt; "&amp;Table1[[#This Row],[Level2]],"")</f>
        <v>Fordon &gt; Biltillbehör</v>
      </c>
      <c r="P124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 &gt; Gps &amp; gps-tillbehör</v>
      </c>
      <c r="Q124" s="6" t="s">
        <v>504</v>
      </c>
    </row>
    <row r="125" spans="1:17" x14ac:dyDescent="0.25">
      <c r="A125" s="1" t="s">
        <v>8</v>
      </c>
      <c r="B12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fordon-biltillbehor-hallare-och-forvaring</v>
      </c>
      <c r="C125" s="3" t="s">
        <v>80</v>
      </c>
      <c r="D125" s="3" t="s">
        <v>88</v>
      </c>
      <c r="E125" s="3" t="s">
        <v>392</v>
      </c>
      <c r="F125" s="3"/>
      <c r="G125" s="4" t="b">
        <v>1</v>
      </c>
      <c r="H125" s="5"/>
      <c r="I125" s="4" t="b">
        <v>1</v>
      </c>
      <c r="J125" s="5"/>
      <c r="K125" s="5"/>
      <c r="L125" s="5"/>
      <c r="M125" s="5"/>
      <c r="N125" s="2" t="str">
        <f>Table1[[#This Row],[Level1]]</f>
        <v>Fordon</v>
      </c>
      <c r="O125" s="2" t="str">
        <f>Table1[[#This Row],[Level1]]
&amp;IF(Table1[[#This Row],[Level2]]&lt;&gt;""," &gt; "&amp;Table1[[#This Row],[Level2]],"")</f>
        <v>Fordon &gt; Biltillbehör</v>
      </c>
      <c r="P125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 &gt; Hållare &amp; förvaring</v>
      </c>
      <c r="Q125" s="6" t="s">
        <v>505</v>
      </c>
    </row>
    <row r="126" spans="1:17" x14ac:dyDescent="0.25">
      <c r="A126" s="1" t="s">
        <v>8</v>
      </c>
      <c r="B12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fordon-biltillbehor-ovriga-biltillbehor</v>
      </c>
      <c r="C126" s="3" t="s">
        <v>80</v>
      </c>
      <c r="D126" s="3" t="s">
        <v>88</v>
      </c>
      <c r="E126" s="3" t="s">
        <v>395</v>
      </c>
      <c r="F126" s="3"/>
      <c r="G126" s="4" t="b">
        <v>1</v>
      </c>
      <c r="H126" s="5"/>
      <c r="I126" s="4" t="b">
        <v>1</v>
      </c>
      <c r="J126" s="5"/>
      <c r="K126" s="5"/>
      <c r="L126" s="5"/>
      <c r="M126" s="5"/>
      <c r="N126" s="2" t="str">
        <f>Table1[[#This Row],[Level1]]</f>
        <v>Fordon</v>
      </c>
      <c r="O126" s="2" t="str">
        <f>Table1[[#This Row],[Level1]]
&amp;IF(Table1[[#This Row],[Level2]]&lt;&gt;""," &gt; "&amp;Table1[[#This Row],[Level2]],"")</f>
        <v>Fordon &gt; Biltillbehör</v>
      </c>
      <c r="P126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 &gt; Övriga biltillbehör</v>
      </c>
      <c r="Q126" s="6" t="s">
        <v>506</v>
      </c>
    </row>
    <row r="127" spans="1:17" x14ac:dyDescent="0.25">
      <c r="A127" s="1" t="s">
        <v>8</v>
      </c>
      <c r="B12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fordon-biltillbehor-sakerhet-och-skydd</v>
      </c>
      <c r="C127" s="3" t="s">
        <v>80</v>
      </c>
      <c r="D127" s="3" t="s">
        <v>88</v>
      </c>
      <c r="E127" s="3" t="s">
        <v>394</v>
      </c>
      <c r="F127" s="3"/>
      <c r="G127" s="4" t="b">
        <v>1</v>
      </c>
      <c r="H127" s="5"/>
      <c r="I127" s="4" t="b">
        <v>1</v>
      </c>
      <c r="J127" s="5"/>
      <c r="K127" s="5"/>
      <c r="L127" s="5"/>
      <c r="M127" s="5"/>
      <c r="N127" s="2" t="str">
        <f>Table1[[#This Row],[Level1]]</f>
        <v>Fordon</v>
      </c>
      <c r="O127" s="2" t="str">
        <f>Table1[[#This Row],[Level1]]
&amp;IF(Table1[[#This Row],[Level2]]&lt;&gt;""," &gt; "&amp;Table1[[#This Row],[Level2]],"")</f>
        <v>Fordon &gt; Biltillbehör</v>
      </c>
      <c r="P127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 &gt; Säkerhet &amp; skydd</v>
      </c>
      <c r="Q127" s="6" t="s">
        <v>507</v>
      </c>
    </row>
    <row r="128" spans="1:17" x14ac:dyDescent="0.25">
      <c r="A128" s="1" t="s">
        <v>8</v>
      </c>
      <c r="B12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fordon-biltillbehor-vinterutrustning-till-bil</v>
      </c>
      <c r="C128" s="3" t="s">
        <v>80</v>
      </c>
      <c r="D128" s="3" t="s">
        <v>88</v>
      </c>
      <c r="E128" s="3" t="s">
        <v>89</v>
      </c>
      <c r="F128" s="3"/>
      <c r="G128" s="4" t="b">
        <v>1</v>
      </c>
      <c r="H128" s="5"/>
      <c r="I128" s="4" t="b">
        <v>1</v>
      </c>
      <c r="J128" s="5"/>
      <c r="K128" s="5"/>
      <c r="L128" s="5"/>
      <c r="M128" s="5"/>
      <c r="N128" s="2" t="str">
        <f>Table1[[#This Row],[Level1]]</f>
        <v>Fordon</v>
      </c>
      <c r="O128" s="2" t="str">
        <f>Table1[[#This Row],[Level1]]
&amp;IF(Table1[[#This Row],[Level2]]&lt;&gt;""," &gt; "&amp;Table1[[#This Row],[Level2]],"")</f>
        <v>Fordon &gt; Biltillbehör</v>
      </c>
      <c r="P128" s="2" t="str">
        <f>Table1[[#This Row],[Level1]]
&amp;IF(Table1[[#This Row],[Level2]]&lt;&gt;""," &gt; "&amp;Table1[[#This Row],[Level2]],"")
&amp;IF(Table1[[#This Row],[Level3]]&lt;&gt;""," &gt; "&amp;Table1[[#This Row],[Level3]],"")</f>
        <v>Fordon &gt; Biltillbehör &gt; Vinterutrustning till bil</v>
      </c>
      <c r="Q128" s="6" t="s">
        <v>508</v>
      </c>
    </row>
    <row r="129" spans="1:17" x14ac:dyDescent="0.25">
      <c r="A129" s="1" t="s">
        <v>8</v>
      </c>
      <c r="B12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fordon-cykeltillbehor-cykelbelysning</v>
      </c>
      <c r="C129" s="3" t="s">
        <v>80</v>
      </c>
      <c r="D129" s="3" t="s">
        <v>92</v>
      </c>
      <c r="E129" s="3" t="s">
        <v>95</v>
      </c>
      <c r="F129" s="3"/>
      <c r="G129" s="4" t="b">
        <v>1</v>
      </c>
      <c r="H129" s="5"/>
      <c r="I129" s="4" t="b">
        <v>1</v>
      </c>
      <c r="J129" s="5"/>
      <c r="K129" s="5"/>
      <c r="L129" s="5"/>
      <c r="M129" s="5"/>
      <c r="N129" s="2" t="str">
        <f>Table1[[#This Row],[Level1]]</f>
        <v>Fordon</v>
      </c>
      <c r="O129" s="2" t="str">
        <f>Table1[[#This Row],[Level1]]
&amp;IF(Table1[[#This Row],[Level2]]&lt;&gt;""," &gt; "&amp;Table1[[#This Row],[Level2]],"")</f>
        <v>Fordon &gt; Cykeltillbehör</v>
      </c>
      <c r="P129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 &gt; Cykelbelysning</v>
      </c>
      <c r="Q129" s="6" t="s">
        <v>509</v>
      </c>
    </row>
    <row r="130" spans="1:17" x14ac:dyDescent="0.25">
      <c r="A130" s="1" t="s">
        <v>8</v>
      </c>
      <c r="B13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fordon-cykeltillbehor-cykellas</v>
      </c>
      <c r="C130" s="3" t="s">
        <v>80</v>
      </c>
      <c r="D130" s="3" t="s">
        <v>92</v>
      </c>
      <c r="E130" s="3" t="s">
        <v>93</v>
      </c>
      <c r="F130" s="3"/>
      <c r="G130" s="4" t="b">
        <v>1</v>
      </c>
      <c r="H130" s="5"/>
      <c r="I130" s="4" t="b">
        <v>1</v>
      </c>
      <c r="J130" s="5"/>
      <c r="K130" s="5"/>
      <c r="L130" s="5"/>
      <c r="M130" s="5"/>
      <c r="N130" s="2" t="str">
        <f>Table1[[#This Row],[Level1]]</f>
        <v>Fordon</v>
      </c>
      <c r="O130" s="2" t="str">
        <f>Table1[[#This Row],[Level1]]
&amp;IF(Table1[[#This Row],[Level2]]&lt;&gt;""," &gt; "&amp;Table1[[#This Row],[Level2]],"")</f>
        <v>Fordon &gt; Cykeltillbehör</v>
      </c>
      <c r="P130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 &gt; Cykellås</v>
      </c>
      <c r="Q130" s="6" t="s">
        <v>510</v>
      </c>
    </row>
    <row r="131" spans="1:17" x14ac:dyDescent="0.25">
      <c r="A131" s="1" t="s">
        <v>8</v>
      </c>
      <c r="B13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fordon-cykeltillbehor-cykelpumpar</v>
      </c>
      <c r="C131" s="3" t="s">
        <v>80</v>
      </c>
      <c r="D131" s="3" t="s">
        <v>92</v>
      </c>
      <c r="E131" s="3" t="s">
        <v>94</v>
      </c>
      <c r="F131" s="3"/>
      <c r="G131" s="4" t="b">
        <v>1</v>
      </c>
      <c r="H131" s="5"/>
      <c r="I131" s="4" t="b">
        <v>1</v>
      </c>
      <c r="J131" s="5"/>
      <c r="K131" s="5"/>
      <c r="L131" s="5"/>
      <c r="M131" s="5"/>
      <c r="N131" s="2" t="str">
        <f>Table1[[#This Row],[Level1]]</f>
        <v>Fordon</v>
      </c>
      <c r="O131" s="2" t="str">
        <f>Table1[[#This Row],[Level1]]
&amp;IF(Table1[[#This Row],[Level2]]&lt;&gt;""," &gt; "&amp;Table1[[#This Row],[Level2]],"")</f>
        <v>Fordon &gt; Cykeltillbehör</v>
      </c>
      <c r="P131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 &gt; Cykelpumpar</v>
      </c>
      <c r="Q131" s="6" t="s">
        <v>511</v>
      </c>
    </row>
    <row r="132" spans="1:17" x14ac:dyDescent="0.25">
      <c r="A132" s="1" t="s">
        <v>8</v>
      </c>
      <c r="B13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fordon-cykeltillbehor-komfort-och-tillbehor</v>
      </c>
      <c r="C132" s="3" t="s">
        <v>80</v>
      </c>
      <c r="D132" s="3" t="s">
        <v>92</v>
      </c>
      <c r="E132" s="3" t="s">
        <v>398</v>
      </c>
      <c r="F132" s="3"/>
      <c r="G132" s="4" t="b">
        <v>1</v>
      </c>
      <c r="H132" s="5"/>
      <c r="I132" s="4" t="b">
        <v>1</v>
      </c>
      <c r="J132" s="5"/>
      <c r="K132" s="5"/>
      <c r="L132" s="5"/>
      <c r="M132" s="5"/>
      <c r="N132" s="2" t="str">
        <f>Table1[[#This Row],[Level1]]</f>
        <v>Fordon</v>
      </c>
      <c r="O132" s="2" t="str">
        <f>Table1[[#This Row],[Level1]]
&amp;IF(Table1[[#This Row],[Level2]]&lt;&gt;""," &gt; "&amp;Table1[[#This Row],[Level2]],"")</f>
        <v>Fordon &gt; Cykeltillbehör</v>
      </c>
      <c r="P132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 &gt; Komfort &amp; tillbehör</v>
      </c>
      <c r="Q132" s="6" t="s">
        <v>512</v>
      </c>
    </row>
    <row r="133" spans="1:17" x14ac:dyDescent="0.25">
      <c r="A133" s="1" t="s">
        <v>8</v>
      </c>
      <c r="B13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fordon-cykeltillbehor-ovrigt-cykeltillbehor</v>
      </c>
      <c r="C133" s="3" t="s">
        <v>80</v>
      </c>
      <c r="D133" s="3" t="s">
        <v>92</v>
      </c>
      <c r="E133" s="3" t="s">
        <v>96</v>
      </c>
      <c r="F133" s="3"/>
      <c r="G133" s="4" t="b">
        <v>1</v>
      </c>
      <c r="H133" s="5"/>
      <c r="I133" s="4" t="b">
        <v>1</v>
      </c>
      <c r="J133" s="5"/>
      <c r="K133" s="5"/>
      <c r="L133" s="5"/>
      <c r="M133" s="5"/>
      <c r="N133" s="2" t="str">
        <f>Table1[[#This Row],[Level1]]</f>
        <v>Fordon</v>
      </c>
      <c r="O133" s="2" t="str">
        <f>Table1[[#This Row],[Level1]]
&amp;IF(Table1[[#This Row],[Level2]]&lt;&gt;""," &gt; "&amp;Table1[[#This Row],[Level2]],"")</f>
        <v>Fordon &gt; Cykeltillbehör</v>
      </c>
      <c r="P133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 &gt; Övrigt cykeltillbehör</v>
      </c>
      <c r="Q133" s="6" t="s">
        <v>513</v>
      </c>
    </row>
    <row r="134" spans="1:17" x14ac:dyDescent="0.25">
      <c r="A134" s="1" t="s">
        <v>8</v>
      </c>
      <c r="B13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fordon-cykeltillbehor-reparation-och-underhall</v>
      </c>
      <c r="C134" s="3" t="s">
        <v>80</v>
      </c>
      <c r="D134" s="3" t="s">
        <v>92</v>
      </c>
      <c r="E134" s="3" t="s">
        <v>396</v>
      </c>
      <c r="F134" s="3"/>
      <c r="G134" s="4" t="b">
        <v>1</v>
      </c>
      <c r="H134" s="5"/>
      <c r="I134" s="4" t="b">
        <v>1</v>
      </c>
      <c r="J134" s="5"/>
      <c r="K134" s="5"/>
      <c r="L134" s="5"/>
      <c r="M134" s="5"/>
      <c r="N134" s="2" t="str">
        <f>Table1[[#This Row],[Level1]]</f>
        <v>Fordon</v>
      </c>
      <c r="O134" s="2" t="str">
        <f>Table1[[#This Row],[Level1]]
&amp;IF(Table1[[#This Row],[Level2]]&lt;&gt;""," &gt; "&amp;Table1[[#This Row],[Level2]],"")</f>
        <v>Fordon &gt; Cykeltillbehör</v>
      </c>
      <c r="P134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 &gt; Reparation &amp; underhåll</v>
      </c>
      <c r="Q134" s="6" t="s">
        <v>514</v>
      </c>
    </row>
    <row r="135" spans="1:17" x14ac:dyDescent="0.25">
      <c r="A135" s="1" t="s">
        <v>8</v>
      </c>
      <c r="B13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fordon-cykeltillbehor-skydd-och-forvaring</v>
      </c>
      <c r="C135" s="3" t="s">
        <v>80</v>
      </c>
      <c r="D135" s="3" t="s">
        <v>92</v>
      </c>
      <c r="E135" s="3" t="s">
        <v>397</v>
      </c>
      <c r="F135" s="3"/>
      <c r="G135" s="4" t="b">
        <v>1</v>
      </c>
      <c r="H135" s="5"/>
      <c r="I135" s="4" t="b">
        <v>1</v>
      </c>
      <c r="J135" s="5"/>
      <c r="K135" s="5"/>
      <c r="L135" s="5"/>
      <c r="M135" s="5"/>
      <c r="N135" s="2" t="str">
        <f>Table1[[#This Row],[Level1]]</f>
        <v>Fordon</v>
      </c>
      <c r="O135" s="2" t="str">
        <f>Table1[[#This Row],[Level1]]
&amp;IF(Table1[[#This Row],[Level2]]&lt;&gt;""," &gt; "&amp;Table1[[#This Row],[Level2]],"")</f>
        <v>Fordon &gt; Cykeltillbehör</v>
      </c>
      <c r="P135" s="2" t="str">
        <f>Table1[[#This Row],[Level1]]
&amp;IF(Table1[[#This Row],[Level2]]&lt;&gt;""," &gt; "&amp;Table1[[#This Row],[Level2]],"")
&amp;IF(Table1[[#This Row],[Level3]]&lt;&gt;""," &gt; "&amp;Table1[[#This Row],[Level3]],"")</f>
        <v>Fordon &gt; Cykeltillbehör &gt; Skydd &amp; förvaring</v>
      </c>
      <c r="Q135" s="6" t="s">
        <v>515</v>
      </c>
    </row>
    <row r="136" spans="1:17" x14ac:dyDescent="0.25">
      <c r="A136" s="1" t="s">
        <v>8</v>
      </c>
      <c r="B13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hemelektronik-dator-och-arbetsplatstillbehor-bluetooth-adaptrar</v>
      </c>
      <c r="C136" s="3" t="s">
        <v>331</v>
      </c>
      <c r="D136" s="3" t="s">
        <v>478</v>
      </c>
      <c r="E136" s="3" t="s">
        <v>338</v>
      </c>
      <c r="F136" s="3"/>
      <c r="G136" s="4" t="b">
        <v>1</v>
      </c>
      <c r="H136" s="5"/>
      <c r="I136" s="4" t="b">
        <v>1</v>
      </c>
      <c r="J136" s="5"/>
      <c r="K136" s="5"/>
      <c r="L136" s="5"/>
      <c r="M136" s="5"/>
      <c r="N136" s="2" t="str">
        <f>Table1[[#This Row],[Level1]]</f>
        <v>Hemelektronik</v>
      </c>
      <c r="O136" s="2" t="str">
        <f>Table1[[#This Row],[Level1]]
&amp;IF(Table1[[#This Row],[Level2]]&lt;&gt;""," &gt; "&amp;Table1[[#This Row],[Level2]],"")</f>
        <v>Hemelektronik &gt; Dator- &amp; arbetsplatstillbehör</v>
      </c>
      <c r="P136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Bluetooth-adaptrar</v>
      </c>
      <c r="Q136" s="6" t="s">
        <v>614</v>
      </c>
    </row>
    <row r="137" spans="1:17" x14ac:dyDescent="0.25">
      <c r="A137" s="1" t="s">
        <v>8</v>
      </c>
      <c r="B13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hemelektronik-dator-och-arbetsplatstillbehor-laptoptillbehor</v>
      </c>
      <c r="C137" s="3" t="s">
        <v>331</v>
      </c>
      <c r="D137" s="3" t="s">
        <v>478</v>
      </c>
      <c r="E137" s="3" t="s">
        <v>341</v>
      </c>
      <c r="F137" s="3"/>
      <c r="G137" s="4" t="b">
        <v>1</v>
      </c>
      <c r="H137" s="5"/>
      <c r="I137" s="4" t="b">
        <v>1</v>
      </c>
      <c r="J137" s="5"/>
      <c r="K137" s="5"/>
      <c r="L137" s="5"/>
      <c r="M137" s="5"/>
      <c r="N137" s="2" t="str">
        <f>Table1[[#This Row],[Level1]]</f>
        <v>Hemelektronik</v>
      </c>
      <c r="O137" s="2" t="str">
        <f>Table1[[#This Row],[Level1]]
&amp;IF(Table1[[#This Row],[Level2]]&lt;&gt;""," &gt; "&amp;Table1[[#This Row],[Level2]],"")</f>
        <v>Hemelektronik &gt; Dator- &amp; arbetsplatstillbehör</v>
      </c>
      <c r="P137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Laptoptillbehör</v>
      </c>
      <c r="Q137" s="6" t="s">
        <v>615</v>
      </c>
    </row>
    <row r="138" spans="1:17" x14ac:dyDescent="0.25">
      <c r="A138" s="1" t="s">
        <v>8</v>
      </c>
      <c r="B13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hemelektronik-dator-och-arbetsplatstillbehor-mikrofoner-och-webbkameror</v>
      </c>
      <c r="C138" s="3" t="s">
        <v>331</v>
      </c>
      <c r="D138" s="3" t="s">
        <v>478</v>
      </c>
      <c r="E138" s="3" t="s">
        <v>340</v>
      </c>
      <c r="F138" s="3"/>
      <c r="G138" s="4" t="b">
        <v>1</v>
      </c>
      <c r="H138" s="5"/>
      <c r="I138" s="4" t="b">
        <v>1</v>
      </c>
      <c r="J138" s="5"/>
      <c r="K138" s="5"/>
      <c r="L138" s="5"/>
      <c r="M138" s="5"/>
      <c r="N138" s="2" t="str">
        <f>Table1[[#This Row],[Level1]]</f>
        <v>Hemelektronik</v>
      </c>
      <c r="O138" s="2" t="str">
        <f>Table1[[#This Row],[Level1]]
&amp;IF(Table1[[#This Row],[Level2]]&lt;&gt;""," &gt; "&amp;Table1[[#This Row],[Level2]],"")</f>
        <v>Hemelektronik &gt; Dator- &amp; arbetsplatstillbehör</v>
      </c>
      <c r="P138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Mikrofoner &amp; webbkameror</v>
      </c>
      <c r="Q138" s="6" t="s">
        <v>616</v>
      </c>
    </row>
    <row r="139" spans="1:17" x14ac:dyDescent="0.25">
      <c r="A139" s="1" t="s">
        <v>8</v>
      </c>
      <c r="B13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hemelektronik-dator-och-arbetsplatstillbehor-moss-och-tangentbord</v>
      </c>
      <c r="C139" s="3" t="s">
        <v>331</v>
      </c>
      <c r="D139" s="3" t="s">
        <v>478</v>
      </c>
      <c r="E139" s="3" t="s">
        <v>339</v>
      </c>
      <c r="F139" s="3"/>
      <c r="G139" s="4" t="b">
        <v>1</v>
      </c>
      <c r="H139" s="5"/>
      <c r="I139" s="4" t="b">
        <v>1</v>
      </c>
      <c r="J139" s="5"/>
      <c r="K139" s="5"/>
      <c r="L139" s="5"/>
      <c r="M139" s="5"/>
      <c r="N139" s="2" t="str">
        <f>Table1[[#This Row],[Level1]]</f>
        <v>Hemelektronik</v>
      </c>
      <c r="O139" s="2" t="str">
        <f>Table1[[#This Row],[Level1]]
&amp;IF(Table1[[#This Row],[Level2]]&lt;&gt;""," &gt; "&amp;Table1[[#This Row],[Level2]],"")</f>
        <v>Hemelektronik &gt; Dator- &amp; arbetsplatstillbehör</v>
      </c>
      <c r="P139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Möss &amp; tangentbord</v>
      </c>
      <c r="Q139" s="6" t="s">
        <v>617</v>
      </c>
    </row>
    <row r="140" spans="1:17" x14ac:dyDescent="0.25">
      <c r="A140" s="1" t="s">
        <v>8</v>
      </c>
      <c r="B14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hemelektronik-dator-och-arbetsplatstillbehor-routrar-och-switchar</v>
      </c>
      <c r="C140" s="3" t="s">
        <v>331</v>
      </c>
      <c r="D140" s="3" t="s">
        <v>478</v>
      </c>
      <c r="E140" s="3" t="s">
        <v>343</v>
      </c>
      <c r="F140" s="3"/>
      <c r="G140" s="4" t="b">
        <v>1</v>
      </c>
      <c r="H140" s="5"/>
      <c r="I140" s="4" t="b">
        <v>1</v>
      </c>
      <c r="J140" s="5"/>
      <c r="K140" s="5"/>
      <c r="L140" s="5"/>
      <c r="M140" s="5"/>
      <c r="N140" s="2" t="str">
        <f>Table1[[#This Row],[Level1]]</f>
        <v>Hemelektronik</v>
      </c>
      <c r="O140" s="2" t="str">
        <f>Table1[[#This Row],[Level1]]
&amp;IF(Table1[[#This Row],[Level2]]&lt;&gt;""," &gt; "&amp;Table1[[#This Row],[Level2]],"")</f>
        <v>Hemelektronik &gt; Dator- &amp; arbetsplatstillbehör</v>
      </c>
      <c r="P140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Routrar &amp; switchar</v>
      </c>
      <c r="Q140" s="6" t="s">
        <v>619</v>
      </c>
    </row>
    <row r="141" spans="1:17" x14ac:dyDescent="0.25">
      <c r="A141" s="1" t="s">
        <v>8</v>
      </c>
      <c r="B14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hemelektronik-dator-och-arbetsplatstillbehor-tradlost-natverk-och-extenders</v>
      </c>
      <c r="C141" s="3" t="s">
        <v>331</v>
      </c>
      <c r="D141" s="3" t="s">
        <v>478</v>
      </c>
      <c r="E141" s="3" t="s">
        <v>342</v>
      </c>
      <c r="F141" s="3"/>
      <c r="G141" s="4" t="b">
        <v>1</v>
      </c>
      <c r="H141" s="5"/>
      <c r="I141" s="4" t="b">
        <v>1</v>
      </c>
      <c r="J141" s="5"/>
      <c r="K141" s="5"/>
      <c r="L141" s="5"/>
      <c r="M141" s="5"/>
      <c r="N141" s="2" t="str">
        <f>Table1[[#This Row],[Level1]]</f>
        <v>Hemelektronik</v>
      </c>
      <c r="O141" s="2" t="str">
        <f>Table1[[#This Row],[Level1]]
&amp;IF(Table1[[#This Row],[Level2]]&lt;&gt;""," &gt; "&amp;Table1[[#This Row],[Level2]],"")</f>
        <v>Hemelektronik &gt; Dator- &amp; arbetsplatstillbehör</v>
      </c>
      <c r="P141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Trådlöst nätverk &amp; extenders</v>
      </c>
      <c r="Q141" s="6" t="s">
        <v>620</v>
      </c>
    </row>
    <row r="142" spans="1:17" x14ac:dyDescent="0.25">
      <c r="A142" s="1" t="s">
        <v>8</v>
      </c>
      <c r="B14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hemelektronik-dator-och-arbetsplatstillbehor-usb-hubbar-och-dockor</v>
      </c>
      <c r="C142" s="3" t="s">
        <v>331</v>
      </c>
      <c r="D142" s="3" t="s">
        <v>478</v>
      </c>
      <c r="E142" s="3" t="s">
        <v>445</v>
      </c>
      <c r="F142" s="3"/>
      <c r="G142" s="4" t="b">
        <v>1</v>
      </c>
      <c r="H142" s="5"/>
      <c r="I142" s="4" t="b">
        <v>1</v>
      </c>
      <c r="J142" s="5"/>
      <c r="K142" s="5"/>
      <c r="L142" s="5"/>
      <c r="M142" s="5"/>
      <c r="N142" s="2" t="str">
        <f>Table1[[#This Row],[Level1]]</f>
        <v>Hemelektronik</v>
      </c>
      <c r="O142" s="2" t="str">
        <f>Table1[[#This Row],[Level1]]
&amp;IF(Table1[[#This Row],[Level2]]&lt;&gt;""," &gt; "&amp;Table1[[#This Row],[Level2]],"")</f>
        <v>Hemelektronik &gt; Dator- &amp; arbetsplatstillbehör</v>
      </c>
      <c r="P142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Usb-hubbar &amp; dockor</v>
      </c>
      <c r="Q142" s="6" t="s">
        <v>621</v>
      </c>
    </row>
    <row r="143" spans="1:17" x14ac:dyDescent="0.25">
      <c r="A143" s="1" t="s">
        <v>8</v>
      </c>
      <c r="B14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hemelektronik-dator-och-arbetsplatstillbehor-usb-minnen</v>
      </c>
      <c r="C143" s="3" t="s">
        <v>331</v>
      </c>
      <c r="D143" s="3" t="s">
        <v>478</v>
      </c>
      <c r="E143" s="3" t="s">
        <v>446</v>
      </c>
      <c r="F143" s="3"/>
      <c r="G143" s="4" t="b">
        <v>1</v>
      </c>
      <c r="H143" s="5"/>
      <c r="I143" s="4" t="b">
        <v>1</v>
      </c>
      <c r="J143" s="5"/>
      <c r="K143" s="5"/>
      <c r="L143" s="5"/>
      <c r="M143" s="5"/>
      <c r="N143" s="2" t="str">
        <f>Table1[[#This Row],[Level1]]</f>
        <v>Hemelektronik</v>
      </c>
      <c r="O143" s="2" t="str">
        <f>Table1[[#This Row],[Level1]]
&amp;IF(Table1[[#This Row],[Level2]]&lt;&gt;""," &gt; "&amp;Table1[[#This Row],[Level2]],"")</f>
        <v>Hemelektronik &gt; Dator- &amp; arbetsplatstillbehör</v>
      </c>
      <c r="P143" s="2" t="str">
        <f>Table1[[#This Row],[Level1]]
&amp;IF(Table1[[#This Row],[Level2]]&lt;&gt;""," &gt; "&amp;Table1[[#This Row],[Level2]],"")
&amp;IF(Table1[[#This Row],[Level3]]&lt;&gt;""," &gt; "&amp;Table1[[#This Row],[Level3]],"")</f>
        <v>Hemelektronik &gt; Dator- &amp; arbetsplatstillbehör &gt; Usb-minnen</v>
      </c>
      <c r="Q143" s="6" t="s">
        <v>622</v>
      </c>
    </row>
    <row r="144" spans="1:17" x14ac:dyDescent="0.25">
      <c r="A144" s="1" t="s">
        <v>8</v>
      </c>
      <c r="B14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heminredning-dekoration-dekorativa-figurer-och-prydnader</v>
      </c>
      <c r="C144" s="3" t="s">
        <v>145</v>
      </c>
      <c r="D144" s="3" t="s">
        <v>119</v>
      </c>
      <c r="E144" s="3" t="s">
        <v>120</v>
      </c>
      <c r="F144" s="3"/>
      <c r="G144" s="4" t="b">
        <v>1</v>
      </c>
      <c r="H144" s="5"/>
      <c r="I144" s="4" t="b">
        <v>1</v>
      </c>
      <c r="J144" s="5"/>
      <c r="K144" s="5"/>
      <c r="L144" s="5"/>
      <c r="M144" s="5"/>
      <c r="N144" s="2" t="str">
        <f>Table1[[#This Row],[Level1]]</f>
        <v>Heminredning</v>
      </c>
      <c r="O144" s="2" t="str">
        <f>Table1[[#This Row],[Level1]]
&amp;IF(Table1[[#This Row],[Level2]]&lt;&gt;""," &gt; "&amp;Table1[[#This Row],[Level2]],"")</f>
        <v>Heminredning &gt; Dekoration</v>
      </c>
      <c r="P144" s="2" t="str">
        <f>Table1[[#This Row],[Level1]]
&amp;IF(Table1[[#This Row],[Level2]]&lt;&gt;""," &gt; "&amp;Table1[[#This Row],[Level2]],"")
&amp;IF(Table1[[#This Row],[Level3]]&lt;&gt;""," &gt; "&amp;Table1[[#This Row],[Level3]],"")</f>
        <v>Heminredning &gt; Dekoration &gt; Dekorativa figurer &amp; prydnader</v>
      </c>
      <c r="Q144" s="6" t="s">
        <v>687</v>
      </c>
    </row>
    <row r="145" spans="1:17" x14ac:dyDescent="0.25">
      <c r="A145" s="1" t="s">
        <v>8</v>
      </c>
      <c r="B14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heminredning-dekoration-klockor-(vagg-och-bord)</v>
      </c>
      <c r="C145" s="3" t="s">
        <v>145</v>
      </c>
      <c r="D145" s="3" t="s">
        <v>119</v>
      </c>
      <c r="E145" s="3" t="s">
        <v>121</v>
      </c>
      <c r="F145" s="3"/>
      <c r="G145" s="4" t="b">
        <v>1</v>
      </c>
      <c r="H145" s="5"/>
      <c r="I145" s="4" t="b">
        <v>1</v>
      </c>
      <c r="J145" s="5"/>
      <c r="K145" s="5"/>
      <c r="L145" s="5"/>
      <c r="M145" s="5"/>
      <c r="N145" s="2" t="str">
        <f>Table1[[#This Row],[Level1]]</f>
        <v>Heminredning</v>
      </c>
      <c r="O145" s="2" t="str">
        <f>Table1[[#This Row],[Level1]]
&amp;IF(Table1[[#This Row],[Level2]]&lt;&gt;""," &gt; "&amp;Table1[[#This Row],[Level2]],"")</f>
        <v>Heminredning &gt; Dekoration</v>
      </c>
      <c r="P145" s="2" t="str">
        <f>Table1[[#This Row],[Level1]]
&amp;IF(Table1[[#This Row],[Level2]]&lt;&gt;""," &gt; "&amp;Table1[[#This Row],[Level2]],"")
&amp;IF(Table1[[#This Row],[Level3]]&lt;&gt;""," &gt; "&amp;Table1[[#This Row],[Level3]],"")</f>
        <v>Heminredning &gt; Dekoration &gt; Klockor (vägg &amp; bord)</v>
      </c>
      <c r="Q145" s="6" t="s">
        <v>688</v>
      </c>
    </row>
    <row r="146" spans="1:17" x14ac:dyDescent="0.25">
      <c r="A146" s="1" t="s">
        <v>8</v>
      </c>
      <c r="B14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heminredning-dekoration-ljushallare-och-ljuslyktor</v>
      </c>
      <c r="C146" s="3" t="s">
        <v>145</v>
      </c>
      <c r="D146" s="3" t="s">
        <v>119</v>
      </c>
      <c r="E146" s="3" t="s">
        <v>411</v>
      </c>
      <c r="F146" s="3"/>
      <c r="G146" s="4" t="b">
        <v>1</v>
      </c>
      <c r="H146" s="5"/>
      <c r="I146" s="4" t="b">
        <v>1</v>
      </c>
      <c r="J146" s="5"/>
      <c r="K146" s="5"/>
      <c r="L146" s="5"/>
      <c r="M146" s="5"/>
      <c r="N146" s="2" t="str">
        <f>Table1[[#This Row],[Level1]]</f>
        <v>Heminredning</v>
      </c>
      <c r="O146" s="2" t="str">
        <f>Table1[[#This Row],[Level1]]
&amp;IF(Table1[[#This Row],[Level2]]&lt;&gt;""," &gt; "&amp;Table1[[#This Row],[Level2]],"")</f>
        <v>Heminredning &gt; Dekoration</v>
      </c>
      <c r="P146" s="2" t="str">
        <f>Table1[[#This Row],[Level1]]
&amp;IF(Table1[[#This Row],[Level2]]&lt;&gt;""," &gt; "&amp;Table1[[#This Row],[Level2]],"")
&amp;IF(Table1[[#This Row],[Level3]]&lt;&gt;""," &gt; "&amp;Table1[[#This Row],[Level3]],"")</f>
        <v>Heminredning &gt; Dekoration &gt; Ljushållare &amp; ljuslyktor</v>
      </c>
      <c r="Q146" s="6" t="s">
        <v>689</v>
      </c>
    </row>
    <row r="147" spans="1:17" x14ac:dyDescent="0.25">
      <c r="A147" s="1" t="s">
        <v>8</v>
      </c>
      <c r="B14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heminredning-dekoration-sasongsdekoration</v>
      </c>
      <c r="C147" s="3" t="s">
        <v>145</v>
      </c>
      <c r="D147" s="3" t="s">
        <v>119</v>
      </c>
      <c r="E147" s="3" t="s">
        <v>122</v>
      </c>
      <c r="F147" s="3"/>
      <c r="G147" s="4" t="b">
        <v>1</v>
      </c>
      <c r="H147" s="5"/>
      <c r="I147" s="4" t="b">
        <v>1</v>
      </c>
      <c r="J147" s="5"/>
      <c r="K147" s="5"/>
      <c r="L147" s="5"/>
      <c r="M147" s="5"/>
      <c r="N147" s="2" t="str">
        <f>Table1[[#This Row],[Level1]]</f>
        <v>Heminredning</v>
      </c>
      <c r="O147" s="2" t="str">
        <f>Table1[[#This Row],[Level1]]
&amp;IF(Table1[[#This Row],[Level2]]&lt;&gt;""," &gt; "&amp;Table1[[#This Row],[Level2]],"")</f>
        <v>Heminredning &gt; Dekoration</v>
      </c>
      <c r="P147" s="2" t="str">
        <f>Table1[[#This Row],[Level1]]
&amp;IF(Table1[[#This Row],[Level2]]&lt;&gt;""," &gt; "&amp;Table1[[#This Row],[Level2]],"")
&amp;IF(Table1[[#This Row],[Level3]]&lt;&gt;""," &gt; "&amp;Table1[[#This Row],[Level3]],"")</f>
        <v>Heminredning &gt; Dekoration &gt; Säsongsdekoration</v>
      </c>
      <c r="Q147" s="6" t="s">
        <v>690</v>
      </c>
    </row>
    <row r="148" spans="1:17" x14ac:dyDescent="0.25">
      <c r="A148" s="1" t="s">
        <v>8</v>
      </c>
      <c r="B14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heminredning-dekoration-vaggdekoration-och-posters</v>
      </c>
      <c r="C148" s="3" t="s">
        <v>145</v>
      </c>
      <c r="D148" s="3" t="s">
        <v>119</v>
      </c>
      <c r="E148" s="3" t="s">
        <v>409</v>
      </c>
      <c r="F148" s="3"/>
      <c r="G148" s="4" t="b">
        <v>1</v>
      </c>
      <c r="H148" s="5"/>
      <c r="I148" s="4" t="b">
        <v>1</v>
      </c>
      <c r="J148" s="5"/>
      <c r="K148" s="5"/>
      <c r="L148" s="5"/>
      <c r="M148" s="5"/>
      <c r="N148" s="2" t="str">
        <f>Table1[[#This Row],[Level1]]</f>
        <v>Heminredning</v>
      </c>
      <c r="O148" s="2" t="str">
        <f>Table1[[#This Row],[Level1]]
&amp;IF(Table1[[#This Row],[Level2]]&lt;&gt;""," &gt; "&amp;Table1[[#This Row],[Level2]],"")</f>
        <v>Heminredning &gt; Dekoration</v>
      </c>
      <c r="P148" s="2" t="str">
        <f>Table1[[#This Row],[Level1]]
&amp;IF(Table1[[#This Row],[Level2]]&lt;&gt;""," &gt; "&amp;Table1[[#This Row],[Level2]],"")
&amp;IF(Table1[[#This Row],[Level3]]&lt;&gt;""," &gt; "&amp;Table1[[#This Row],[Level3]],"")</f>
        <v>Heminredning &gt; Dekoration &gt; Väggdekoration &amp; posters</v>
      </c>
      <c r="Q148" s="6" t="s">
        <v>691</v>
      </c>
    </row>
    <row r="149" spans="1:17" x14ac:dyDescent="0.25">
      <c r="A149" s="1" t="s">
        <v>8</v>
      </c>
      <c r="B14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heminredning-dekoration-vaser-och-krukor</v>
      </c>
      <c r="C149" s="3" t="s">
        <v>145</v>
      </c>
      <c r="D149" s="3" t="s">
        <v>119</v>
      </c>
      <c r="E149" s="3" t="s">
        <v>410</v>
      </c>
      <c r="F149" s="3"/>
      <c r="G149" s="4" t="b">
        <v>1</v>
      </c>
      <c r="H149" s="5"/>
      <c r="I149" s="4" t="b">
        <v>1</v>
      </c>
      <c r="J149" s="5"/>
      <c r="K149" s="5"/>
      <c r="L149" s="5"/>
      <c r="M149" s="5"/>
      <c r="N149" s="2" t="str">
        <f>Table1[[#This Row],[Level1]]</f>
        <v>Heminredning</v>
      </c>
      <c r="O149" s="2" t="str">
        <f>Table1[[#This Row],[Level1]]
&amp;IF(Table1[[#This Row],[Level2]]&lt;&gt;""," &gt; "&amp;Table1[[#This Row],[Level2]],"")</f>
        <v>Heminredning &gt; Dekoration</v>
      </c>
      <c r="P149" s="2" t="str">
        <f>Table1[[#This Row],[Level1]]
&amp;IF(Table1[[#This Row],[Level2]]&lt;&gt;""," &gt; "&amp;Table1[[#This Row],[Level2]],"")
&amp;IF(Table1[[#This Row],[Level3]]&lt;&gt;""," &gt; "&amp;Table1[[#This Row],[Level3]],"")</f>
        <v>Heminredning &gt; Dekoration &gt; Vaser &amp; krukor</v>
      </c>
      <c r="Q149" s="6" t="s">
        <v>692</v>
      </c>
    </row>
    <row r="150" spans="1:17" x14ac:dyDescent="0.25">
      <c r="A150" s="1" t="s">
        <v>8</v>
      </c>
      <c r="B15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hushall-och-kok-dukning-och-servering-barn-–-mat-och-servering</v>
      </c>
      <c r="C150" s="3" t="s">
        <v>484</v>
      </c>
      <c r="D150" s="3" t="s">
        <v>33</v>
      </c>
      <c r="E150" s="3" t="s">
        <v>195</v>
      </c>
      <c r="F150" s="3"/>
      <c r="G150" s="4" t="b">
        <v>1</v>
      </c>
      <c r="H150" s="5"/>
      <c r="I150" s="4" t="b">
        <v>1</v>
      </c>
      <c r="J150" s="5"/>
      <c r="K150" s="5"/>
      <c r="L150" s="5"/>
      <c r="M150" s="5"/>
      <c r="N150" s="2" t="str">
        <f>Table1[[#This Row],[Level1]]</f>
        <v>Hushåll &amp; Kök</v>
      </c>
      <c r="O150" s="2" t="str">
        <f>Table1[[#This Row],[Level1]]
&amp;IF(Table1[[#This Row],[Level2]]&lt;&gt;""," &gt; "&amp;Table1[[#This Row],[Level2]],"")</f>
        <v>Hushåll &amp; Kök &gt; Dukning &amp; servering</v>
      </c>
      <c r="P150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Dukning &amp; servering &gt; Barn – mat &amp; servering</v>
      </c>
      <c r="Q150" s="6" t="s">
        <v>752</v>
      </c>
    </row>
    <row r="151" spans="1:17" x14ac:dyDescent="0.25">
      <c r="A151" s="1" t="s">
        <v>8</v>
      </c>
      <c r="B15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hushall-och-kok-dukning-och-servering-bestick</v>
      </c>
      <c r="C151" s="3" t="s">
        <v>484</v>
      </c>
      <c r="D151" s="3" t="s">
        <v>33</v>
      </c>
      <c r="E151" s="3" t="s">
        <v>34</v>
      </c>
      <c r="F151" s="3"/>
      <c r="G151" s="4" t="b">
        <v>1</v>
      </c>
      <c r="H151" s="5"/>
      <c r="I151" s="4" t="b">
        <v>1</v>
      </c>
      <c r="J151" s="5"/>
      <c r="K151" s="5"/>
      <c r="L151" s="5"/>
      <c r="M151" s="5"/>
      <c r="N151" s="2" t="str">
        <f>Table1[[#This Row],[Level1]]</f>
        <v>Hushåll &amp; Kök</v>
      </c>
      <c r="O151" s="2" t="str">
        <f>Table1[[#This Row],[Level1]]
&amp;IF(Table1[[#This Row],[Level2]]&lt;&gt;""," &gt; "&amp;Table1[[#This Row],[Level2]],"")</f>
        <v>Hushåll &amp; Kök &gt; Dukning &amp; servering</v>
      </c>
      <c r="P151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Dukning &amp; servering &gt; Bestick</v>
      </c>
      <c r="Q151" s="6" t="s">
        <v>753</v>
      </c>
    </row>
    <row r="152" spans="1:17" x14ac:dyDescent="0.25">
      <c r="A152" s="1" t="s">
        <v>8</v>
      </c>
      <c r="B15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hushall-och-kok-dukning-och-servering-glas-koppar-och-muggar</v>
      </c>
      <c r="C152" s="3" t="s">
        <v>484</v>
      </c>
      <c r="D152" s="3" t="s">
        <v>33</v>
      </c>
      <c r="E152" s="3" t="s">
        <v>35</v>
      </c>
      <c r="F152" s="3"/>
      <c r="G152" s="4" t="b">
        <v>1</v>
      </c>
      <c r="H152" s="5"/>
      <c r="I152" s="4" t="b">
        <v>1</v>
      </c>
      <c r="J152" s="5"/>
      <c r="K152" s="5"/>
      <c r="L152" s="5"/>
      <c r="M152" s="5"/>
      <c r="N152" s="2" t="str">
        <f>Table1[[#This Row],[Level1]]</f>
        <v>Hushåll &amp; Kök</v>
      </c>
      <c r="O152" s="2" t="str">
        <f>Table1[[#This Row],[Level1]]
&amp;IF(Table1[[#This Row],[Level2]]&lt;&gt;""," &gt; "&amp;Table1[[#This Row],[Level2]],"")</f>
        <v>Hushåll &amp; Kök &gt; Dukning &amp; servering</v>
      </c>
      <c r="P152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Dukning &amp; servering &gt; Glas, koppar &amp; muggar</v>
      </c>
      <c r="Q152" s="6" t="s">
        <v>754</v>
      </c>
    </row>
    <row r="153" spans="1:17" x14ac:dyDescent="0.25">
      <c r="A153" s="1" t="s">
        <v>8</v>
      </c>
      <c r="B15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hushall-och-kok-dukning-och-servering-skalar-fat-och-servering</v>
      </c>
      <c r="C153" s="3" t="s">
        <v>484</v>
      </c>
      <c r="D153" s="3" t="s">
        <v>33</v>
      </c>
      <c r="E153" s="3" t="s">
        <v>194</v>
      </c>
      <c r="F153" s="3"/>
      <c r="G153" s="4" t="b">
        <v>1</v>
      </c>
      <c r="H153" s="5"/>
      <c r="I153" s="4" t="b">
        <v>1</v>
      </c>
      <c r="J153" s="5"/>
      <c r="K153" s="5"/>
      <c r="L153" s="5"/>
      <c r="M153" s="5"/>
      <c r="N153" s="2" t="str">
        <f>Table1[[#This Row],[Level1]]</f>
        <v>Hushåll &amp; Kök</v>
      </c>
      <c r="O153" s="2" t="str">
        <f>Table1[[#This Row],[Level1]]
&amp;IF(Table1[[#This Row],[Level2]]&lt;&gt;""," &gt; "&amp;Table1[[#This Row],[Level2]],"")</f>
        <v>Hushåll &amp; Kök &gt; Dukning &amp; servering</v>
      </c>
      <c r="P153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Dukning &amp; servering &gt; Skålar, fat &amp; servering</v>
      </c>
      <c r="Q153" s="6" t="s">
        <v>755</v>
      </c>
    </row>
    <row r="154" spans="1:17" x14ac:dyDescent="0.25">
      <c r="A154" s="1" t="s">
        <v>8</v>
      </c>
      <c r="B15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heminredning-el-och-smart-hem-fjarrstyrda-strombrytare</v>
      </c>
      <c r="C154" s="3" t="s">
        <v>145</v>
      </c>
      <c r="D154" s="3" t="s">
        <v>457</v>
      </c>
      <c r="E154" s="3" t="s">
        <v>134</v>
      </c>
      <c r="F154" s="3"/>
      <c r="G154" s="4" t="b">
        <v>1</v>
      </c>
      <c r="H154" s="5"/>
      <c r="I154" s="4" t="b">
        <v>1</v>
      </c>
      <c r="J154" s="5"/>
      <c r="K154" s="5"/>
      <c r="L154" s="5"/>
      <c r="M154" s="5"/>
      <c r="N154" s="2" t="str">
        <f>Table1[[#This Row],[Level1]]</f>
        <v>Heminredning</v>
      </c>
      <c r="O154" s="2" t="str">
        <f>Table1[[#This Row],[Level1]]
&amp;IF(Table1[[#This Row],[Level2]]&lt;&gt;""," &gt; "&amp;Table1[[#This Row],[Level2]],"")</f>
        <v>Heminredning &gt; El &amp; smart hem</v>
      </c>
      <c r="P154" s="2" t="str">
        <f>Table1[[#This Row],[Level1]]
&amp;IF(Table1[[#This Row],[Level2]]&lt;&gt;""," &gt; "&amp;Table1[[#This Row],[Level2]],"")
&amp;IF(Table1[[#This Row],[Level3]]&lt;&gt;""," &gt; "&amp;Table1[[#This Row],[Level3]],"")</f>
        <v>Heminredning &gt; El &amp; smart hem &gt; Fjärrstyrda strömbrytare</v>
      </c>
      <c r="Q154" s="6" t="s">
        <v>693</v>
      </c>
    </row>
    <row r="155" spans="1:17" x14ac:dyDescent="0.25">
      <c r="A155" s="1" t="s">
        <v>8</v>
      </c>
      <c r="B15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heminredning-el-och-smart-hem-grenproppar</v>
      </c>
      <c r="C155" s="3" t="s">
        <v>145</v>
      </c>
      <c r="D155" s="3" t="s">
        <v>457</v>
      </c>
      <c r="E155" s="3" t="s">
        <v>136</v>
      </c>
      <c r="F155" s="3"/>
      <c r="G155" s="4" t="b">
        <v>1</v>
      </c>
      <c r="H155" s="5"/>
      <c r="I155" s="4" t="b">
        <v>1</v>
      </c>
      <c r="J155" s="5"/>
      <c r="K155" s="5"/>
      <c r="L155" s="5"/>
      <c r="M155" s="5"/>
      <c r="N155" s="2" t="str">
        <f>Table1[[#This Row],[Level1]]</f>
        <v>Heminredning</v>
      </c>
      <c r="O155" s="2" t="str">
        <f>Table1[[#This Row],[Level1]]
&amp;IF(Table1[[#This Row],[Level2]]&lt;&gt;""," &gt; "&amp;Table1[[#This Row],[Level2]],"")</f>
        <v>Heminredning &gt; El &amp; smart hem</v>
      </c>
      <c r="P155" s="2" t="str">
        <f>Table1[[#This Row],[Level1]]
&amp;IF(Table1[[#This Row],[Level2]]&lt;&gt;""," &gt; "&amp;Table1[[#This Row],[Level2]],"")
&amp;IF(Table1[[#This Row],[Level3]]&lt;&gt;""," &gt; "&amp;Table1[[#This Row],[Level3]],"")</f>
        <v>Heminredning &gt; El &amp; smart hem &gt; Grenproppar</v>
      </c>
      <c r="Q155" s="6" t="s">
        <v>694</v>
      </c>
    </row>
    <row r="156" spans="1:17" x14ac:dyDescent="0.25">
      <c r="A156" s="1" t="s">
        <v>8</v>
      </c>
      <c r="B15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heminredning-el-och-smart-hem-kablar-och-laddning</v>
      </c>
      <c r="C156" s="3" t="s">
        <v>145</v>
      </c>
      <c r="D156" s="3" t="s">
        <v>457</v>
      </c>
      <c r="E156" s="3" t="s">
        <v>138</v>
      </c>
      <c r="F156" s="3"/>
      <c r="G156" s="4" t="b">
        <v>1</v>
      </c>
      <c r="H156" s="5"/>
      <c r="I156" s="4" t="b">
        <v>1</v>
      </c>
      <c r="J156" s="5"/>
      <c r="K156" s="5"/>
      <c r="L156" s="5"/>
      <c r="M156" s="5"/>
      <c r="N156" s="2" t="str">
        <f>Table1[[#This Row],[Level1]]</f>
        <v>Heminredning</v>
      </c>
      <c r="O156" s="2" t="str">
        <f>Table1[[#This Row],[Level1]]
&amp;IF(Table1[[#This Row],[Level2]]&lt;&gt;""," &gt; "&amp;Table1[[#This Row],[Level2]],"")</f>
        <v>Heminredning &gt; El &amp; smart hem</v>
      </c>
      <c r="P156" s="2" t="str">
        <f>Table1[[#This Row],[Level1]]
&amp;IF(Table1[[#This Row],[Level2]]&lt;&gt;""," &gt; "&amp;Table1[[#This Row],[Level2]],"")
&amp;IF(Table1[[#This Row],[Level3]]&lt;&gt;""," &gt; "&amp;Table1[[#This Row],[Level3]],"")</f>
        <v>Heminredning &gt; El &amp; smart hem &gt; Kablar &amp; laddning</v>
      </c>
      <c r="Q156" s="6" t="s">
        <v>695</v>
      </c>
    </row>
    <row r="157" spans="1:17" x14ac:dyDescent="0.25">
      <c r="A157" s="1" t="s">
        <v>8</v>
      </c>
      <c r="B15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heminredning-el-och-smart-hem-ovriga-elprodukter</v>
      </c>
      <c r="C157" s="3" t="s">
        <v>145</v>
      </c>
      <c r="D157" s="3" t="s">
        <v>457</v>
      </c>
      <c r="E157" s="3" t="s">
        <v>139</v>
      </c>
      <c r="F157" s="3"/>
      <c r="G157" s="4" t="b">
        <v>1</v>
      </c>
      <c r="H157" s="5"/>
      <c r="I157" s="4" t="b">
        <v>1</v>
      </c>
      <c r="J157" s="5"/>
      <c r="K157" s="5"/>
      <c r="L157" s="5"/>
      <c r="M157" s="5"/>
      <c r="N157" s="2" t="str">
        <f>Table1[[#This Row],[Level1]]</f>
        <v>Heminredning</v>
      </c>
      <c r="O157" s="2" t="str">
        <f>Table1[[#This Row],[Level1]]
&amp;IF(Table1[[#This Row],[Level2]]&lt;&gt;""," &gt; "&amp;Table1[[#This Row],[Level2]],"")</f>
        <v>Heminredning &gt; El &amp; smart hem</v>
      </c>
      <c r="P157" s="2" t="str">
        <f>Table1[[#This Row],[Level1]]
&amp;IF(Table1[[#This Row],[Level2]]&lt;&gt;""," &gt; "&amp;Table1[[#This Row],[Level2]],"")
&amp;IF(Table1[[#This Row],[Level3]]&lt;&gt;""," &gt; "&amp;Table1[[#This Row],[Level3]],"")</f>
        <v>Heminredning &gt; El &amp; smart hem &gt; Övriga elprodukter</v>
      </c>
      <c r="Q157" s="6" t="s">
        <v>696</v>
      </c>
    </row>
    <row r="158" spans="1:17" x14ac:dyDescent="0.25">
      <c r="A158" s="1" t="s">
        <v>8</v>
      </c>
      <c r="B15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heminredning-el-och-smart-hem-smart-plugs-och-timers</v>
      </c>
      <c r="C158" s="3" t="s">
        <v>145</v>
      </c>
      <c r="D158" s="3" t="s">
        <v>457</v>
      </c>
      <c r="E158" s="3" t="s">
        <v>135</v>
      </c>
      <c r="F158" s="3"/>
      <c r="G158" s="4" t="b">
        <v>1</v>
      </c>
      <c r="H158" s="5"/>
      <c r="I158" s="4" t="b">
        <v>1</v>
      </c>
      <c r="J158" s="5"/>
      <c r="K158" s="5"/>
      <c r="L158" s="5"/>
      <c r="M158" s="5"/>
      <c r="N158" s="2" t="str">
        <f>Table1[[#This Row],[Level1]]</f>
        <v>Heminredning</v>
      </c>
      <c r="O158" s="2" t="str">
        <f>Table1[[#This Row],[Level1]]
&amp;IF(Table1[[#This Row],[Level2]]&lt;&gt;""," &gt; "&amp;Table1[[#This Row],[Level2]],"")</f>
        <v>Heminredning &gt; El &amp; smart hem</v>
      </c>
      <c r="P158" s="2" t="str">
        <f>Table1[[#This Row],[Level1]]
&amp;IF(Table1[[#This Row],[Level2]]&lt;&gt;""," &gt; "&amp;Table1[[#This Row],[Level2]],"")
&amp;IF(Table1[[#This Row],[Level3]]&lt;&gt;""," &gt; "&amp;Table1[[#This Row],[Level3]],"")</f>
        <v>Heminredning &gt; El &amp; smart hem &gt; Smart plugs &amp; timers</v>
      </c>
      <c r="Q158" s="6" t="s">
        <v>697</v>
      </c>
    </row>
    <row r="159" spans="1:17" x14ac:dyDescent="0.25">
      <c r="A159" s="1" t="s">
        <v>8</v>
      </c>
      <c r="B15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heminredning-el-och-smart-hem-stromadaptrar</v>
      </c>
      <c r="C159" s="3" t="s">
        <v>145</v>
      </c>
      <c r="D159" s="3" t="s">
        <v>457</v>
      </c>
      <c r="E159" s="3" t="s">
        <v>137</v>
      </c>
      <c r="F159" s="3"/>
      <c r="G159" s="4" t="b">
        <v>1</v>
      </c>
      <c r="H159" s="5"/>
      <c r="I159" s="4" t="b">
        <v>1</v>
      </c>
      <c r="J159" s="5"/>
      <c r="K159" s="5"/>
      <c r="L159" s="5"/>
      <c r="M159" s="5"/>
      <c r="N159" s="2" t="str">
        <f>Table1[[#This Row],[Level1]]</f>
        <v>Heminredning</v>
      </c>
      <c r="O159" s="2" t="str">
        <f>Table1[[#This Row],[Level1]]
&amp;IF(Table1[[#This Row],[Level2]]&lt;&gt;""," &gt; "&amp;Table1[[#This Row],[Level2]],"")</f>
        <v>Heminredning &gt; El &amp; smart hem</v>
      </c>
      <c r="P159" s="2" t="str">
        <f>Table1[[#This Row],[Level1]]
&amp;IF(Table1[[#This Row],[Level2]]&lt;&gt;""," &gt; "&amp;Table1[[#This Row],[Level2]],"")
&amp;IF(Table1[[#This Row],[Level3]]&lt;&gt;""," &gt; "&amp;Table1[[#This Row],[Level3]],"")</f>
        <v>Heminredning &gt; El &amp; smart hem &gt; Strömadaptrar</v>
      </c>
      <c r="Q159" s="6" t="s">
        <v>698</v>
      </c>
    </row>
    <row r="160" spans="1:17" x14ac:dyDescent="0.25">
      <c r="A160" s="1" t="s">
        <v>8</v>
      </c>
      <c r="B16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fordon-elscootertillbehor-reservdelar-till-elscooter</v>
      </c>
      <c r="C160" s="3" t="s">
        <v>80</v>
      </c>
      <c r="D160" s="3" t="s">
        <v>97</v>
      </c>
      <c r="E160" s="3" t="s">
        <v>98</v>
      </c>
      <c r="F160" s="3"/>
      <c r="G160" s="4" t="b">
        <v>1</v>
      </c>
      <c r="H160" s="5"/>
      <c r="I160" s="4" t="b">
        <v>1</v>
      </c>
      <c r="J160" s="5"/>
      <c r="K160" s="5"/>
      <c r="L160" s="5"/>
      <c r="M160" s="5"/>
      <c r="N160" s="2" t="str">
        <f>Table1[[#This Row],[Level1]]</f>
        <v>Fordon</v>
      </c>
      <c r="O160" s="2" t="str">
        <f>Table1[[#This Row],[Level1]]
&amp;IF(Table1[[#This Row],[Level2]]&lt;&gt;""," &gt; "&amp;Table1[[#This Row],[Level2]],"")</f>
        <v>Fordon &gt; Elscootertillbehör</v>
      </c>
      <c r="P160" s="2" t="str">
        <f>Table1[[#This Row],[Level1]]
&amp;IF(Table1[[#This Row],[Level2]]&lt;&gt;""," &gt; "&amp;Table1[[#This Row],[Level2]],"")
&amp;IF(Table1[[#This Row],[Level3]]&lt;&gt;""," &gt; "&amp;Table1[[#This Row],[Level3]],"")</f>
        <v>Fordon &gt; Elscootertillbehör &gt; Reservdelar till elscooter</v>
      </c>
      <c r="Q160" s="6" t="s">
        <v>516</v>
      </c>
    </row>
    <row r="161" spans="1:17" x14ac:dyDescent="0.25">
      <c r="A161" s="1" t="s">
        <v>8</v>
      </c>
      <c r="B16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fordon-elscootertillbehor-tillbehor-till-elscooter</v>
      </c>
      <c r="C161" s="3" t="s">
        <v>80</v>
      </c>
      <c r="D161" s="3" t="s">
        <v>97</v>
      </c>
      <c r="E161" s="3" t="s">
        <v>99</v>
      </c>
      <c r="F161" s="3"/>
      <c r="G161" s="4" t="b">
        <v>1</v>
      </c>
      <c r="H161" s="5"/>
      <c r="I161" s="4" t="b">
        <v>1</v>
      </c>
      <c r="J161" s="5"/>
      <c r="K161" s="5"/>
      <c r="L161" s="5"/>
      <c r="M161" s="5"/>
      <c r="N161" s="2" t="str">
        <f>Table1[[#This Row],[Level1]]</f>
        <v>Fordon</v>
      </c>
      <c r="O161" s="2" t="str">
        <f>Table1[[#This Row],[Level1]]
&amp;IF(Table1[[#This Row],[Level2]]&lt;&gt;""," &gt; "&amp;Table1[[#This Row],[Level2]],"")</f>
        <v>Fordon &gt; Elscootertillbehör</v>
      </c>
      <c r="P161" s="2" t="str">
        <f>Table1[[#This Row],[Level1]]
&amp;IF(Table1[[#This Row],[Level2]]&lt;&gt;""," &gt; "&amp;Table1[[#This Row],[Level2]],"")
&amp;IF(Table1[[#This Row],[Level3]]&lt;&gt;""," &gt; "&amp;Table1[[#This Row],[Level3]],"")</f>
        <v>Fordon &gt; Elscootertillbehör &gt; Tillbehör till elscooter</v>
      </c>
      <c r="Q161" s="6" t="s">
        <v>517</v>
      </c>
    </row>
    <row r="162" spans="1:17" x14ac:dyDescent="0.25">
      <c r="A162" s="1" t="s">
        <v>8</v>
      </c>
      <c r="B16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sport-och-fritid-fest-barnkalas</v>
      </c>
      <c r="C162" s="3" t="s">
        <v>204</v>
      </c>
      <c r="D162" s="3" t="s">
        <v>236</v>
      </c>
      <c r="E162" s="3" t="s">
        <v>240</v>
      </c>
      <c r="F162" s="3"/>
      <c r="G162" s="4" t="b">
        <v>1</v>
      </c>
      <c r="H162" s="5"/>
      <c r="I162" s="4" t="b">
        <v>1</v>
      </c>
      <c r="J162" s="5"/>
      <c r="K162" s="5"/>
      <c r="L162" s="5"/>
      <c r="M162" s="5"/>
      <c r="N162" s="2" t="str">
        <f>Table1[[#This Row],[Level1]]</f>
        <v>Sport &amp; Fritid</v>
      </c>
      <c r="O162" s="2" t="str">
        <f>Table1[[#This Row],[Level1]]
&amp;IF(Table1[[#This Row],[Level2]]&lt;&gt;""," &gt; "&amp;Table1[[#This Row],[Level2]],"")</f>
        <v>Sport &amp; Fritid &gt; Fest</v>
      </c>
      <c r="P162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 &gt; Barnkalas</v>
      </c>
      <c r="Q162" s="6" t="s">
        <v>839</v>
      </c>
    </row>
    <row r="163" spans="1:17" x14ac:dyDescent="0.25">
      <c r="A163" s="1" t="s">
        <v>8</v>
      </c>
      <c r="B16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sport-och-fritid-fest-festartiklar</v>
      </c>
      <c r="C163" s="3" t="s">
        <v>204</v>
      </c>
      <c r="D163" s="3" t="s">
        <v>236</v>
      </c>
      <c r="E163" s="3" t="s">
        <v>237</v>
      </c>
      <c r="F163" s="3"/>
      <c r="G163" s="4" t="b">
        <v>1</v>
      </c>
      <c r="H163" s="5"/>
      <c r="I163" s="4" t="b">
        <v>1</v>
      </c>
      <c r="J163" s="5"/>
      <c r="K163" s="5"/>
      <c r="L163" s="5"/>
      <c r="M163" s="5"/>
      <c r="N163" s="2" t="str">
        <f>Table1[[#This Row],[Level1]]</f>
        <v>Sport &amp; Fritid</v>
      </c>
      <c r="O163" s="2" t="str">
        <f>Table1[[#This Row],[Level1]]
&amp;IF(Table1[[#This Row],[Level2]]&lt;&gt;""," &gt; "&amp;Table1[[#This Row],[Level2]],"")</f>
        <v>Sport &amp; Fritid &gt; Fest</v>
      </c>
      <c r="P163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 &gt; Festartiklar</v>
      </c>
      <c r="Q163" s="6" t="s">
        <v>840</v>
      </c>
    </row>
    <row r="164" spans="1:17" x14ac:dyDescent="0.25">
      <c r="A164" s="1" t="s">
        <v>8</v>
      </c>
      <c r="B16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sport-och-fritid-fest-halloween</v>
      </c>
      <c r="C164" s="3" t="s">
        <v>204</v>
      </c>
      <c r="D164" s="3" t="s">
        <v>236</v>
      </c>
      <c r="E164" s="3" t="s">
        <v>238</v>
      </c>
      <c r="F164" s="3"/>
      <c r="G164" s="4" t="b">
        <v>1</v>
      </c>
      <c r="H164" s="5"/>
      <c r="I164" s="4" t="b">
        <v>1</v>
      </c>
      <c r="J164" s="5"/>
      <c r="K164" s="5"/>
      <c r="L164" s="5"/>
      <c r="M164" s="5"/>
      <c r="N164" s="2" t="str">
        <f>Table1[[#This Row],[Level1]]</f>
        <v>Sport &amp; Fritid</v>
      </c>
      <c r="O164" s="2" t="str">
        <f>Table1[[#This Row],[Level1]]
&amp;IF(Table1[[#This Row],[Level2]]&lt;&gt;""," &gt; "&amp;Table1[[#This Row],[Level2]],"")</f>
        <v>Sport &amp; Fritid &gt; Fest</v>
      </c>
      <c r="P164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 &gt; Halloween</v>
      </c>
      <c r="Q164" s="6" t="s">
        <v>841</v>
      </c>
    </row>
    <row r="165" spans="1:17" x14ac:dyDescent="0.25">
      <c r="A165" s="1" t="s">
        <v>8</v>
      </c>
      <c r="B16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sport-och-fritid-fest-jultillbehor</v>
      </c>
      <c r="C165" s="3" t="s">
        <v>204</v>
      </c>
      <c r="D165" s="3" t="s">
        <v>236</v>
      </c>
      <c r="E165" s="3" t="s">
        <v>239</v>
      </c>
      <c r="F165" s="3"/>
      <c r="G165" s="4" t="b">
        <v>1</v>
      </c>
      <c r="H165" s="5"/>
      <c r="I165" s="4" t="b">
        <v>1</v>
      </c>
      <c r="J165" s="5"/>
      <c r="K165" s="5"/>
      <c r="L165" s="5"/>
      <c r="M165" s="5"/>
      <c r="N165" s="2" t="str">
        <f>Table1[[#This Row],[Level1]]</f>
        <v>Sport &amp; Fritid</v>
      </c>
      <c r="O165" s="2" t="str">
        <f>Table1[[#This Row],[Level1]]
&amp;IF(Table1[[#This Row],[Level2]]&lt;&gt;""," &gt; "&amp;Table1[[#This Row],[Level2]],"")</f>
        <v>Sport &amp; Fritid &gt; Fest</v>
      </c>
      <c r="P165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 &gt; Jultillbehör</v>
      </c>
      <c r="Q165" s="6" t="s">
        <v>842</v>
      </c>
    </row>
    <row r="166" spans="1:17" x14ac:dyDescent="0.25">
      <c r="A166" s="1" t="s">
        <v>8</v>
      </c>
      <c r="B16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sport-och-fritid-fest-masker-och-utkladnad</v>
      </c>
      <c r="C166" s="3" t="s">
        <v>204</v>
      </c>
      <c r="D166" s="3" t="s">
        <v>236</v>
      </c>
      <c r="E166" s="3" t="s">
        <v>434</v>
      </c>
      <c r="F166" s="3"/>
      <c r="G166" s="4" t="b">
        <v>1</v>
      </c>
      <c r="H166" s="5"/>
      <c r="I166" s="4" t="b">
        <v>1</v>
      </c>
      <c r="J166" s="5"/>
      <c r="K166" s="5"/>
      <c r="L166" s="5"/>
      <c r="M166" s="5"/>
      <c r="N166" s="2" t="str">
        <f>Table1[[#This Row],[Level1]]</f>
        <v>Sport &amp; Fritid</v>
      </c>
      <c r="O166" s="2" t="str">
        <f>Table1[[#This Row],[Level1]]
&amp;IF(Table1[[#This Row],[Level2]]&lt;&gt;""," &gt; "&amp;Table1[[#This Row],[Level2]],"")</f>
        <v>Sport &amp; Fritid &gt; Fest</v>
      </c>
      <c r="P166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 &gt; Masker &amp; utklädnad</v>
      </c>
      <c r="Q166" s="6" t="s">
        <v>843</v>
      </c>
    </row>
    <row r="167" spans="1:17" x14ac:dyDescent="0.25">
      <c r="A167" s="1" t="s">
        <v>8</v>
      </c>
      <c r="B16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sport-och-fritid-fest-partyspel-och-sallskapsspel</v>
      </c>
      <c r="C167" s="3" t="s">
        <v>204</v>
      </c>
      <c r="D167" s="3" t="s">
        <v>236</v>
      </c>
      <c r="E167" s="3" t="s">
        <v>436</v>
      </c>
      <c r="F167" s="3"/>
      <c r="G167" s="4" t="b">
        <v>1</v>
      </c>
      <c r="H167" s="5"/>
      <c r="I167" s="4" t="b">
        <v>1</v>
      </c>
      <c r="J167" s="5"/>
      <c r="K167" s="5"/>
      <c r="L167" s="5"/>
      <c r="M167" s="5"/>
      <c r="N167" s="2" t="str">
        <f>Table1[[#This Row],[Level1]]</f>
        <v>Sport &amp; Fritid</v>
      </c>
      <c r="O167" s="2" t="str">
        <f>Table1[[#This Row],[Level1]]
&amp;IF(Table1[[#This Row],[Level2]]&lt;&gt;""," &gt; "&amp;Table1[[#This Row],[Level2]],"")</f>
        <v>Sport &amp; Fritid &gt; Fest</v>
      </c>
      <c r="P167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 &gt; Partyspel &amp; sällskapsspel</v>
      </c>
      <c r="Q167" s="6" t="s">
        <v>844</v>
      </c>
    </row>
    <row r="168" spans="1:17" x14ac:dyDescent="0.25">
      <c r="A168" s="1" t="s">
        <v>8</v>
      </c>
      <c r="B16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sport-och-fritid-fest-presenter-och-gavor</v>
      </c>
      <c r="C168" s="3" t="s">
        <v>204</v>
      </c>
      <c r="D168" s="3" t="s">
        <v>236</v>
      </c>
      <c r="E168" s="3" t="s">
        <v>435</v>
      </c>
      <c r="F168" s="3"/>
      <c r="G168" s="4" t="b">
        <v>1</v>
      </c>
      <c r="H168" s="5"/>
      <c r="I168" s="4" t="b">
        <v>1</v>
      </c>
      <c r="J168" s="5"/>
      <c r="K168" s="5"/>
      <c r="L168" s="5"/>
      <c r="M168" s="5"/>
      <c r="N168" s="2" t="str">
        <f>Table1[[#This Row],[Level1]]</f>
        <v>Sport &amp; Fritid</v>
      </c>
      <c r="O168" s="2" t="str">
        <f>Table1[[#This Row],[Level1]]
&amp;IF(Table1[[#This Row],[Level2]]&lt;&gt;""," &gt; "&amp;Table1[[#This Row],[Level2]],"")</f>
        <v>Sport &amp; Fritid &gt; Fest</v>
      </c>
      <c r="P168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Fest &gt; Presenter &amp; gåvor</v>
      </c>
      <c r="Q168" s="6" t="s">
        <v>845</v>
      </c>
    </row>
    <row r="169" spans="1:17" x14ac:dyDescent="0.25">
      <c r="A169" s="1" t="s">
        <v>8</v>
      </c>
      <c r="B16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heminredning-forvaring-och-organisation-forvaringslador-och-korgar</v>
      </c>
      <c r="C169" s="3" t="s">
        <v>145</v>
      </c>
      <c r="D169" s="3" t="s">
        <v>456</v>
      </c>
      <c r="E169" s="3" t="s">
        <v>123</v>
      </c>
      <c r="F169" s="3"/>
      <c r="G169" s="4" t="b">
        <v>1</v>
      </c>
      <c r="H169" s="5"/>
      <c r="I169" s="4" t="b">
        <v>1</v>
      </c>
      <c r="J169" s="5"/>
      <c r="K169" s="5"/>
      <c r="L169" s="5"/>
      <c r="M169" s="5"/>
      <c r="N169" s="2" t="str">
        <f>Table1[[#This Row],[Level1]]</f>
        <v>Heminredning</v>
      </c>
      <c r="O169" s="2" t="str">
        <f>Table1[[#This Row],[Level1]]
&amp;IF(Table1[[#This Row],[Level2]]&lt;&gt;""," &gt; "&amp;Table1[[#This Row],[Level2]],"")</f>
        <v>Heminredning &gt; Förvaring &amp; organisation</v>
      </c>
      <c r="P169" s="2" t="str">
        <f>Table1[[#This Row],[Level1]]
&amp;IF(Table1[[#This Row],[Level2]]&lt;&gt;""," &gt; "&amp;Table1[[#This Row],[Level2]],"")
&amp;IF(Table1[[#This Row],[Level3]]&lt;&gt;""," &gt; "&amp;Table1[[#This Row],[Level3]],"")</f>
        <v>Heminredning &gt; Förvaring &amp; organisation &gt; Förvaringslådor &amp; korgar</v>
      </c>
      <c r="Q169" s="6" t="s">
        <v>699</v>
      </c>
    </row>
    <row r="170" spans="1:17" x14ac:dyDescent="0.25">
      <c r="A170" s="1" t="s">
        <v>8</v>
      </c>
      <c r="B17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heminredning-forvaring-och-organisation-hyllor-och-smaforvaring</v>
      </c>
      <c r="C170" s="3" t="s">
        <v>145</v>
      </c>
      <c r="D170" s="3" t="s">
        <v>456</v>
      </c>
      <c r="E170" s="3" t="s">
        <v>124</v>
      </c>
      <c r="F170" s="3"/>
      <c r="G170" s="4" t="b">
        <v>1</v>
      </c>
      <c r="H170" s="5"/>
      <c r="I170" s="4" t="b">
        <v>1</v>
      </c>
      <c r="J170" s="5"/>
      <c r="K170" s="5"/>
      <c r="L170" s="5"/>
      <c r="M170" s="5"/>
      <c r="N170" s="2" t="str">
        <f>Table1[[#This Row],[Level1]]</f>
        <v>Heminredning</v>
      </c>
      <c r="O170" s="2" t="str">
        <f>Table1[[#This Row],[Level1]]
&amp;IF(Table1[[#This Row],[Level2]]&lt;&gt;""," &gt; "&amp;Table1[[#This Row],[Level2]],"")</f>
        <v>Heminredning &gt; Förvaring &amp; organisation</v>
      </c>
      <c r="P170" s="2" t="str">
        <f>Table1[[#This Row],[Level1]]
&amp;IF(Table1[[#This Row],[Level2]]&lt;&gt;""," &gt; "&amp;Table1[[#This Row],[Level2]],"")
&amp;IF(Table1[[#This Row],[Level3]]&lt;&gt;""," &gt; "&amp;Table1[[#This Row],[Level3]],"")</f>
        <v>Heminredning &gt; Förvaring &amp; organisation &gt; Hyllor &amp; småförvaring</v>
      </c>
      <c r="Q170" s="6" t="s">
        <v>700</v>
      </c>
    </row>
    <row r="171" spans="1:17" x14ac:dyDescent="0.25">
      <c r="A171" s="1" t="s">
        <v>8</v>
      </c>
      <c r="B17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heminredning-forvaring-och-organisation-krokar-och-upphangning</v>
      </c>
      <c r="C171" s="3" t="s">
        <v>145</v>
      </c>
      <c r="D171" s="3" t="s">
        <v>456</v>
      </c>
      <c r="E171" s="3" t="s">
        <v>125</v>
      </c>
      <c r="F171" s="3"/>
      <c r="G171" s="4" t="b">
        <v>1</v>
      </c>
      <c r="H171" s="5"/>
      <c r="I171" s="4" t="b">
        <v>1</v>
      </c>
      <c r="J171" s="5"/>
      <c r="K171" s="5"/>
      <c r="L171" s="5"/>
      <c r="M171" s="5"/>
      <c r="N171" s="2" t="str">
        <f>Table1[[#This Row],[Level1]]</f>
        <v>Heminredning</v>
      </c>
      <c r="O171" s="2" t="str">
        <f>Table1[[#This Row],[Level1]]
&amp;IF(Table1[[#This Row],[Level2]]&lt;&gt;""," &gt; "&amp;Table1[[#This Row],[Level2]],"")</f>
        <v>Heminredning &gt; Förvaring &amp; organisation</v>
      </c>
      <c r="P171" s="2" t="str">
        <f>Table1[[#This Row],[Level1]]
&amp;IF(Table1[[#This Row],[Level2]]&lt;&gt;""," &gt; "&amp;Table1[[#This Row],[Level2]],"")
&amp;IF(Table1[[#This Row],[Level3]]&lt;&gt;""," &gt; "&amp;Table1[[#This Row],[Level3]],"")</f>
        <v>Heminredning &gt; Förvaring &amp; organisation &gt; Krokar &amp; upphängning</v>
      </c>
      <c r="Q171" s="6" t="s">
        <v>701</v>
      </c>
    </row>
    <row r="172" spans="1:17" x14ac:dyDescent="0.25">
      <c r="A172" s="1" t="s">
        <v>8</v>
      </c>
      <c r="B17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heminredning-forvaring-och-organisation-ovrig-forvaring</v>
      </c>
      <c r="C172" s="3" t="s">
        <v>145</v>
      </c>
      <c r="D172" s="3" t="s">
        <v>456</v>
      </c>
      <c r="E172" s="3" t="s">
        <v>127</v>
      </c>
      <c r="F172" s="3"/>
      <c r="G172" s="4" t="b">
        <v>1</v>
      </c>
      <c r="H172" s="5"/>
      <c r="I172" s="4" t="b">
        <v>1</v>
      </c>
      <c r="J172" s="5"/>
      <c r="K172" s="5"/>
      <c r="L172" s="5"/>
      <c r="M172" s="5"/>
      <c r="N172" s="2" t="str">
        <f>Table1[[#This Row],[Level1]]</f>
        <v>Heminredning</v>
      </c>
      <c r="O172" s="2" t="str">
        <f>Table1[[#This Row],[Level1]]
&amp;IF(Table1[[#This Row],[Level2]]&lt;&gt;""," &gt; "&amp;Table1[[#This Row],[Level2]],"")</f>
        <v>Heminredning &gt; Förvaring &amp; organisation</v>
      </c>
      <c r="P172" s="2" t="str">
        <f>Table1[[#This Row],[Level1]]
&amp;IF(Table1[[#This Row],[Level2]]&lt;&gt;""," &gt; "&amp;Table1[[#This Row],[Level2]],"")
&amp;IF(Table1[[#This Row],[Level3]]&lt;&gt;""," &gt; "&amp;Table1[[#This Row],[Level3]],"")</f>
        <v>Heminredning &gt; Förvaring &amp; organisation &gt; Övrig förvaring</v>
      </c>
      <c r="Q172" s="6" t="s">
        <v>702</v>
      </c>
    </row>
    <row r="173" spans="1:17" x14ac:dyDescent="0.25">
      <c r="A173" s="1" t="s">
        <v>8</v>
      </c>
      <c r="B17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heminredning-forvaring-och-organisation-reseforvaring-och-necessarer</v>
      </c>
      <c r="C173" s="3" t="s">
        <v>145</v>
      </c>
      <c r="D173" s="3" t="s">
        <v>456</v>
      </c>
      <c r="E173" s="3" t="s">
        <v>126</v>
      </c>
      <c r="F173" s="3"/>
      <c r="G173" s="4" t="b">
        <v>1</v>
      </c>
      <c r="H173" s="5"/>
      <c r="I173" s="4" t="b">
        <v>1</v>
      </c>
      <c r="J173" s="5"/>
      <c r="K173" s="5"/>
      <c r="L173" s="5"/>
      <c r="M173" s="5"/>
      <c r="N173" s="2" t="str">
        <f>Table1[[#This Row],[Level1]]</f>
        <v>Heminredning</v>
      </c>
      <c r="O173" s="2" t="str">
        <f>Table1[[#This Row],[Level1]]
&amp;IF(Table1[[#This Row],[Level2]]&lt;&gt;""," &gt; "&amp;Table1[[#This Row],[Level2]],"")</f>
        <v>Heminredning &gt; Förvaring &amp; organisation</v>
      </c>
      <c r="P173" s="2" t="str">
        <f>Table1[[#This Row],[Level1]]
&amp;IF(Table1[[#This Row],[Level2]]&lt;&gt;""," &gt; "&amp;Table1[[#This Row],[Level2]],"")
&amp;IF(Table1[[#This Row],[Level3]]&lt;&gt;""," &gt; "&amp;Table1[[#This Row],[Level3]],"")</f>
        <v>Heminredning &gt; Förvaring &amp; organisation &gt; Reseförvaring &amp; necessärer</v>
      </c>
      <c r="Q173" s="6" t="s">
        <v>703</v>
      </c>
    </row>
    <row r="174" spans="1:17" x14ac:dyDescent="0.25">
      <c r="A174" s="1" t="s">
        <v>8</v>
      </c>
      <c r="B17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hemelektronik-foto-video-och-overvakning-actionkameror-och-tillbehor</v>
      </c>
      <c r="C174" s="3" t="s">
        <v>331</v>
      </c>
      <c r="D174" s="3" t="s">
        <v>480</v>
      </c>
      <c r="E174" s="3" t="s">
        <v>353</v>
      </c>
      <c r="F174" s="3"/>
      <c r="G174" s="4" t="b">
        <v>1</v>
      </c>
      <c r="H174" s="5"/>
      <c r="I174" s="4" t="b">
        <v>1</v>
      </c>
      <c r="J174" s="5"/>
      <c r="K174" s="5"/>
      <c r="L174" s="5"/>
      <c r="M174" s="5"/>
      <c r="N174" s="2" t="str">
        <f>Table1[[#This Row],[Level1]]</f>
        <v>Hemelektronik</v>
      </c>
      <c r="O174" s="2" t="str">
        <f>Table1[[#This Row],[Level1]]
&amp;IF(Table1[[#This Row],[Level2]]&lt;&gt;""," &gt; "&amp;Table1[[#This Row],[Level2]],"")</f>
        <v>Hemelektronik &gt; Foto, video &amp; övervakning</v>
      </c>
      <c r="P174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Actionkameror &amp; tillbehör</v>
      </c>
      <c r="Q174" s="6" t="s">
        <v>623</v>
      </c>
    </row>
    <row r="175" spans="1:17" x14ac:dyDescent="0.25">
      <c r="A175" s="1" t="s">
        <v>8</v>
      </c>
      <c r="B17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hemelektronik-foto-video-och-overvakning-atel-och-vildkameror</v>
      </c>
      <c r="C175" s="3" t="s">
        <v>331</v>
      </c>
      <c r="D175" s="3" t="s">
        <v>480</v>
      </c>
      <c r="E175" s="3" t="s">
        <v>354</v>
      </c>
      <c r="F175" s="3"/>
      <c r="G175" s="4" t="b">
        <v>1</v>
      </c>
      <c r="H175" s="5"/>
      <c r="I175" s="4" t="b">
        <v>1</v>
      </c>
      <c r="J175" s="5"/>
      <c r="K175" s="5"/>
      <c r="L175" s="5"/>
      <c r="M175" s="5"/>
      <c r="N175" s="2" t="str">
        <f>Table1[[#This Row],[Level1]]</f>
        <v>Hemelektronik</v>
      </c>
      <c r="O175" s="2" t="str">
        <f>Table1[[#This Row],[Level1]]
&amp;IF(Table1[[#This Row],[Level2]]&lt;&gt;""," &gt; "&amp;Table1[[#This Row],[Level2]],"")</f>
        <v>Hemelektronik &gt; Foto, video &amp; övervakning</v>
      </c>
      <c r="P175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Åtel- &amp; vildkameror</v>
      </c>
      <c r="Q175" s="6" t="s">
        <v>624</v>
      </c>
    </row>
    <row r="176" spans="1:17" x14ac:dyDescent="0.25">
      <c r="A176" s="1" t="s">
        <v>8</v>
      </c>
      <c r="B17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hemelektronik-foto-video-och-overvakning-kameratillbehor</v>
      </c>
      <c r="C176" s="3" t="s">
        <v>331</v>
      </c>
      <c r="D176" s="3" t="s">
        <v>480</v>
      </c>
      <c r="E176" s="3" t="s">
        <v>350</v>
      </c>
      <c r="F176" s="3"/>
      <c r="G176" s="4" t="b">
        <v>1</v>
      </c>
      <c r="H176" s="5"/>
      <c r="I176" s="4" t="b">
        <v>1</v>
      </c>
      <c r="J176" s="5"/>
      <c r="K176" s="5"/>
      <c r="L176" s="5"/>
      <c r="M176" s="5"/>
      <c r="N176" s="2" t="str">
        <f>Table1[[#This Row],[Level1]]</f>
        <v>Hemelektronik</v>
      </c>
      <c r="O176" s="2" t="str">
        <f>Table1[[#This Row],[Level1]]
&amp;IF(Table1[[#This Row],[Level2]]&lt;&gt;""," &gt; "&amp;Table1[[#This Row],[Level2]],"")</f>
        <v>Hemelektronik &gt; Foto, video &amp; övervakning</v>
      </c>
      <c r="P176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Kameratillbehör</v>
      </c>
      <c r="Q176" s="6" t="s">
        <v>625</v>
      </c>
    </row>
    <row r="177" spans="1:17" x14ac:dyDescent="0.25">
      <c r="A177" s="1" t="s">
        <v>8</v>
      </c>
      <c r="B17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hemelektronik-foto-video-och-overvakning-laddare-och-batterier</v>
      </c>
      <c r="C177" s="3" t="s">
        <v>331</v>
      </c>
      <c r="D177" s="3" t="s">
        <v>480</v>
      </c>
      <c r="E177" s="3" t="s">
        <v>352</v>
      </c>
      <c r="F177" s="3"/>
      <c r="G177" s="4" t="b">
        <v>1</v>
      </c>
      <c r="H177" s="5"/>
      <c r="I177" s="4" t="b">
        <v>1</v>
      </c>
      <c r="J177" s="5"/>
      <c r="K177" s="5"/>
      <c r="L177" s="5"/>
      <c r="M177" s="5"/>
      <c r="N177" s="2" t="str">
        <f>Table1[[#This Row],[Level1]]</f>
        <v>Hemelektronik</v>
      </c>
      <c r="O177" s="2" t="str">
        <f>Table1[[#This Row],[Level1]]
&amp;IF(Table1[[#This Row],[Level2]]&lt;&gt;""," &gt; "&amp;Table1[[#This Row],[Level2]],"")</f>
        <v>Hemelektronik &gt; Foto, video &amp; övervakning</v>
      </c>
      <c r="P177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Laddare &amp; batterier</v>
      </c>
      <c r="Q177" s="6" t="s">
        <v>626</v>
      </c>
    </row>
    <row r="178" spans="1:17" x14ac:dyDescent="0.25">
      <c r="A178" s="1" t="s">
        <v>8</v>
      </c>
      <c r="B17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hemelektronik-foto-video-och-overvakning-minneskort</v>
      </c>
      <c r="C178" s="3" t="s">
        <v>331</v>
      </c>
      <c r="D178" s="3" t="s">
        <v>480</v>
      </c>
      <c r="E178" s="3" t="s">
        <v>351</v>
      </c>
      <c r="F178" s="3"/>
      <c r="G178" s="4" t="b">
        <v>1</v>
      </c>
      <c r="H178" s="5"/>
      <c r="I178" s="4" t="b">
        <v>1</v>
      </c>
      <c r="J178" s="5"/>
      <c r="K178" s="5"/>
      <c r="L178" s="5"/>
      <c r="M178" s="5"/>
      <c r="N178" s="2" t="str">
        <f>Table1[[#This Row],[Level1]]</f>
        <v>Hemelektronik</v>
      </c>
      <c r="O178" s="2" t="str">
        <f>Table1[[#This Row],[Level1]]
&amp;IF(Table1[[#This Row],[Level2]]&lt;&gt;""," &gt; "&amp;Table1[[#This Row],[Level2]],"")</f>
        <v>Hemelektronik &gt; Foto, video &amp; övervakning</v>
      </c>
      <c r="P178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Minneskort</v>
      </c>
      <c r="Q178" s="6" t="s">
        <v>627</v>
      </c>
    </row>
    <row r="179" spans="1:17" x14ac:dyDescent="0.25">
      <c r="A179" s="1" t="s">
        <v>8</v>
      </c>
      <c r="B17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hemelektronik-foto-video-och-overvakning-ovriga-foto-och-videotillbehor</v>
      </c>
      <c r="C179" s="3" t="s">
        <v>331</v>
      </c>
      <c r="D179" s="3" t="s">
        <v>480</v>
      </c>
      <c r="E179" s="3" t="s">
        <v>357</v>
      </c>
      <c r="F179" s="3"/>
      <c r="G179" s="4" t="b">
        <v>1</v>
      </c>
      <c r="H179" s="5"/>
      <c r="I179" s="4" t="b">
        <v>1</v>
      </c>
      <c r="J179" s="5"/>
      <c r="K179" s="5"/>
      <c r="L179" s="5"/>
      <c r="M179" s="5"/>
      <c r="N179" s="2" t="str">
        <f>Table1[[#This Row],[Level1]]</f>
        <v>Hemelektronik</v>
      </c>
      <c r="O179" s="2" t="str">
        <f>Table1[[#This Row],[Level1]]
&amp;IF(Table1[[#This Row],[Level2]]&lt;&gt;""," &gt; "&amp;Table1[[#This Row],[Level2]],"")</f>
        <v>Hemelektronik &gt; Foto, video &amp; övervakning</v>
      </c>
      <c r="P179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Övriga foto- &amp; videotillbehör</v>
      </c>
      <c r="Q179" s="6" t="s">
        <v>628</v>
      </c>
    </row>
    <row r="180" spans="1:17" x14ac:dyDescent="0.25">
      <c r="A180" s="1" t="s">
        <v>8</v>
      </c>
      <c r="B18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hemelektronik-foto-video-och-overvakning-spionkameror</v>
      </c>
      <c r="C180" s="3" t="s">
        <v>331</v>
      </c>
      <c r="D180" s="3" t="s">
        <v>480</v>
      </c>
      <c r="E180" s="3" t="s">
        <v>355</v>
      </c>
      <c r="F180" s="3"/>
      <c r="G180" s="4" t="b">
        <v>1</v>
      </c>
      <c r="H180" s="5"/>
      <c r="I180" s="4" t="b">
        <v>1</v>
      </c>
      <c r="J180" s="5"/>
      <c r="K180" s="5"/>
      <c r="L180" s="5"/>
      <c r="M180" s="5"/>
      <c r="N180" s="2" t="str">
        <f>Table1[[#This Row],[Level1]]</f>
        <v>Hemelektronik</v>
      </c>
      <c r="O180" s="2" t="str">
        <f>Table1[[#This Row],[Level1]]
&amp;IF(Table1[[#This Row],[Level2]]&lt;&gt;""," &gt; "&amp;Table1[[#This Row],[Level2]],"")</f>
        <v>Hemelektronik &gt; Foto, video &amp; övervakning</v>
      </c>
      <c r="P180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Spionkameror</v>
      </c>
      <c r="Q180" s="6" t="s">
        <v>629</v>
      </c>
    </row>
    <row r="181" spans="1:17" x14ac:dyDescent="0.25">
      <c r="A181" s="1" t="s">
        <v>8</v>
      </c>
      <c r="B18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hemelektronik-foto-video-och-overvakning-studioutrustning</v>
      </c>
      <c r="C181" s="3" t="s">
        <v>331</v>
      </c>
      <c r="D181" s="3" t="s">
        <v>480</v>
      </c>
      <c r="E181" s="3" t="s">
        <v>356</v>
      </c>
      <c r="F181" s="3"/>
      <c r="G181" s="4" t="b">
        <v>1</v>
      </c>
      <c r="H181" s="5"/>
      <c r="I181" s="4" t="b">
        <v>1</v>
      </c>
      <c r="J181" s="5"/>
      <c r="K181" s="5"/>
      <c r="L181" s="5"/>
      <c r="M181" s="5"/>
      <c r="N181" s="2" t="str">
        <f>Table1[[#This Row],[Level1]]</f>
        <v>Hemelektronik</v>
      </c>
      <c r="O181" s="2" t="str">
        <f>Table1[[#This Row],[Level1]]
&amp;IF(Table1[[#This Row],[Level2]]&lt;&gt;""," &gt; "&amp;Table1[[#This Row],[Level2]],"")</f>
        <v>Hemelektronik &gt; Foto, video &amp; övervakning</v>
      </c>
      <c r="P181" s="2" t="str">
        <f>Table1[[#This Row],[Level1]]
&amp;IF(Table1[[#This Row],[Level2]]&lt;&gt;""," &gt; "&amp;Table1[[#This Row],[Level2]],"")
&amp;IF(Table1[[#This Row],[Level3]]&lt;&gt;""," &gt; "&amp;Table1[[#This Row],[Level3]],"")</f>
        <v>Hemelektronik &gt; Foto, video &amp; övervakning &gt; Studioutrustning</v>
      </c>
      <c r="Q181" s="6" t="s">
        <v>630</v>
      </c>
    </row>
    <row r="182" spans="1:17" x14ac:dyDescent="0.25">
      <c r="A182" s="1" t="s">
        <v>8</v>
      </c>
      <c r="B18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sport-och-fritid-friluftsliv-och-beredskap-beredskapsprodukter</v>
      </c>
      <c r="C182" s="3" t="s">
        <v>204</v>
      </c>
      <c r="D182" s="3" t="s">
        <v>464</v>
      </c>
      <c r="E182" s="3" t="s">
        <v>213</v>
      </c>
      <c r="F182" s="3"/>
      <c r="G182" s="4" t="b">
        <v>1</v>
      </c>
      <c r="H182" s="5"/>
      <c r="I182" s="4" t="b">
        <v>1</v>
      </c>
      <c r="J182" s="5"/>
      <c r="K182" s="5"/>
      <c r="L182" s="5"/>
      <c r="M182" s="5"/>
      <c r="N182" s="2" t="str">
        <f>Table1[[#This Row],[Level1]]</f>
        <v>Sport &amp; Fritid</v>
      </c>
      <c r="O182" s="2" t="str">
        <f>Table1[[#This Row],[Level1]]
&amp;IF(Table1[[#This Row],[Level2]]&lt;&gt;""," &gt; "&amp;Table1[[#This Row],[Level2]],"")</f>
        <v>Sport &amp; Fritid &gt; Friluftsliv &amp; beredskap</v>
      </c>
      <c r="P182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Beredskapsprodukter</v>
      </c>
      <c r="Q182" s="6" t="s">
        <v>846</v>
      </c>
    </row>
    <row r="183" spans="1:17" x14ac:dyDescent="0.25">
      <c r="A183" s="1" t="s">
        <v>8</v>
      </c>
      <c r="B18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sport-och-fritid-friluftsliv-och-beredskap-camping-och-friluftsutrustning</v>
      </c>
      <c r="C183" s="3" t="s">
        <v>204</v>
      </c>
      <c r="D183" s="3" t="s">
        <v>464</v>
      </c>
      <c r="E183" s="3" t="s">
        <v>205</v>
      </c>
      <c r="F183" s="3"/>
      <c r="G183" s="4" t="b">
        <v>1</v>
      </c>
      <c r="H183" s="5"/>
      <c r="I183" s="4" t="b">
        <v>1</v>
      </c>
      <c r="J183" s="5"/>
      <c r="K183" s="5"/>
      <c r="L183" s="5"/>
      <c r="M183" s="5"/>
      <c r="N183" s="2" t="str">
        <f>Table1[[#This Row],[Level1]]</f>
        <v>Sport &amp; Fritid</v>
      </c>
      <c r="O183" s="2" t="str">
        <f>Table1[[#This Row],[Level1]]
&amp;IF(Table1[[#This Row],[Level2]]&lt;&gt;""," &gt; "&amp;Table1[[#This Row],[Level2]],"")</f>
        <v>Sport &amp; Fritid &gt; Friluftsliv &amp; beredskap</v>
      </c>
      <c r="P183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Camping &amp; friluftsutrustning</v>
      </c>
      <c r="Q183" s="6" t="s">
        <v>847</v>
      </c>
    </row>
    <row r="184" spans="1:17" x14ac:dyDescent="0.25">
      <c r="A184" s="1" t="s">
        <v>8</v>
      </c>
      <c r="B18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sport-och-fritid-friluftsliv-och-beredskap-energi-och-solcell</v>
      </c>
      <c r="C184" s="3" t="s">
        <v>204</v>
      </c>
      <c r="D184" s="3" t="s">
        <v>464</v>
      </c>
      <c r="E184" s="3" t="s">
        <v>427</v>
      </c>
      <c r="F184" s="3"/>
      <c r="G184" s="4" t="b">
        <v>1</v>
      </c>
      <c r="H184" s="5"/>
      <c r="I184" s="4" t="b">
        <v>1</v>
      </c>
      <c r="J184" s="5"/>
      <c r="K184" s="5"/>
      <c r="L184" s="5"/>
      <c r="M184" s="5"/>
      <c r="N184" s="2" t="str">
        <f>Table1[[#This Row],[Level1]]</f>
        <v>Sport &amp; Fritid</v>
      </c>
      <c r="O184" s="2" t="str">
        <f>Table1[[#This Row],[Level1]]
&amp;IF(Table1[[#This Row],[Level2]]&lt;&gt;""," &gt; "&amp;Table1[[#This Row],[Level2]],"")</f>
        <v>Sport &amp; Fritid &gt; Friluftsliv &amp; beredskap</v>
      </c>
      <c r="P184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Energi &amp; solcell</v>
      </c>
      <c r="Q184" s="6" t="s">
        <v>848</v>
      </c>
    </row>
    <row r="185" spans="1:17" x14ac:dyDescent="0.25">
      <c r="A185" s="1" t="s">
        <v>8</v>
      </c>
      <c r="B18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sport-och-fritid-friluftsliv-och-beredskap-ficklampor-och-pannlampor</v>
      </c>
      <c r="C185" s="3" t="s">
        <v>204</v>
      </c>
      <c r="D185" s="3" t="s">
        <v>464</v>
      </c>
      <c r="E185" s="3" t="s">
        <v>426</v>
      </c>
      <c r="F185" s="3"/>
      <c r="G185" s="4" t="b">
        <v>1</v>
      </c>
      <c r="H185" s="5"/>
      <c r="I185" s="4" t="b">
        <v>1</v>
      </c>
      <c r="J185" s="5"/>
      <c r="K185" s="5"/>
      <c r="L185" s="5"/>
      <c r="M185" s="5"/>
      <c r="N185" s="2" t="str">
        <f>Table1[[#This Row],[Level1]]</f>
        <v>Sport &amp; Fritid</v>
      </c>
      <c r="O185" s="2" t="str">
        <f>Table1[[#This Row],[Level1]]
&amp;IF(Table1[[#This Row],[Level2]]&lt;&gt;""," &gt; "&amp;Table1[[#This Row],[Level2]],"")</f>
        <v>Sport &amp; Fritid &gt; Friluftsliv &amp; beredskap</v>
      </c>
      <c r="P185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Ficklampor &amp; pannlampor</v>
      </c>
      <c r="Q185" s="6" t="s">
        <v>849</v>
      </c>
    </row>
    <row r="186" spans="1:17" x14ac:dyDescent="0.25">
      <c r="A186" s="1" t="s">
        <v>8</v>
      </c>
      <c r="B18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sport-och-fritid-friluftsliv-och-beredskap-jakt-och-fiske</v>
      </c>
      <c r="C186" s="3" t="s">
        <v>204</v>
      </c>
      <c r="D186" s="3" t="s">
        <v>464</v>
      </c>
      <c r="E186" s="3" t="s">
        <v>210</v>
      </c>
      <c r="F186" s="3"/>
      <c r="G186" s="4" t="b">
        <v>1</v>
      </c>
      <c r="H186" s="5"/>
      <c r="I186" s="4" t="b">
        <v>1</v>
      </c>
      <c r="J186" s="5"/>
      <c r="K186" s="5"/>
      <c r="L186" s="5"/>
      <c r="M186" s="5"/>
      <c r="N186" s="2" t="str">
        <f>Table1[[#This Row],[Level1]]</f>
        <v>Sport &amp; Fritid</v>
      </c>
      <c r="O186" s="2" t="str">
        <f>Table1[[#This Row],[Level1]]
&amp;IF(Table1[[#This Row],[Level2]]&lt;&gt;""," &gt; "&amp;Table1[[#This Row],[Level2]],"")</f>
        <v>Sport &amp; Fritid &gt; Friluftsliv &amp; beredskap</v>
      </c>
      <c r="P186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Jakt &amp; fiske</v>
      </c>
      <c r="Q186" s="6" t="s">
        <v>850</v>
      </c>
    </row>
    <row r="187" spans="1:17" x14ac:dyDescent="0.25">
      <c r="A187" s="1" t="s">
        <v>8</v>
      </c>
      <c r="B18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sport-och-fritid-friluftsliv-och-beredskap-kikare-och-optik</v>
      </c>
      <c r="C187" s="3" t="s">
        <v>204</v>
      </c>
      <c r="D187" s="3" t="s">
        <v>464</v>
      </c>
      <c r="E187" s="3" t="s">
        <v>209</v>
      </c>
      <c r="F187" s="3"/>
      <c r="G187" s="4" t="b">
        <v>1</v>
      </c>
      <c r="H187" s="5"/>
      <c r="I187" s="4" t="b">
        <v>1</v>
      </c>
      <c r="J187" s="5"/>
      <c r="K187" s="5"/>
      <c r="L187" s="5"/>
      <c r="M187" s="5"/>
      <c r="N187" s="2" t="str">
        <f>Table1[[#This Row],[Level1]]</f>
        <v>Sport &amp; Fritid</v>
      </c>
      <c r="O187" s="2" t="str">
        <f>Table1[[#This Row],[Level1]]
&amp;IF(Table1[[#This Row],[Level2]]&lt;&gt;""," &gt; "&amp;Table1[[#This Row],[Level2]],"")</f>
        <v>Sport &amp; Fritid &gt; Friluftsliv &amp; beredskap</v>
      </c>
      <c r="P187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Kikare &amp; optik</v>
      </c>
      <c r="Q187" s="6" t="s">
        <v>851</v>
      </c>
    </row>
    <row r="188" spans="1:17" x14ac:dyDescent="0.25">
      <c r="A188" s="1" t="s">
        <v>8</v>
      </c>
      <c r="B18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sport-och-fritid-friluftsliv-och-beredskap-kommunikation</v>
      </c>
      <c r="C188" s="3" t="s">
        <v>204</v>
      </c>
      <c r="D188" s="3" t="s">
        <v>464</v>
      </c>
      <c r="E188" s="3" t="s">
        <v>208</v>
      </c>
      <c r="F188" s="3"/>
      <c r="G188" s="4" t="b">
        <v>1</v>
      </c>
      <c r="H188" s="5"/>
      <c r="I188" s="4" t="b">
        <v>1</v>
      </c>
      <c r="J188" s="5"/>
      <c r="K188" s="5"/>
      <c r="L188" s="5"/>
      <c r="M188" s="5"/>
      <c r="N188" s="2" t="str">
        <f>Table1[[#This Row],[Level1]]</f>
        <v>Sport &amp; Fritid</v>
      </c>
      <c r="O188" s="2" t="str">
        <f>Table1[[#This Row],[Level1]]
&amp;IF(Table1[[#This Row],[Level2]]&lt;&gt;""," &gt; "&amp;Table1[[#This Row],[Level2]],"")</f>
        <v>Sport &amp; Fritid &gt; Friluftsliv &amp; beredskap</v>
      </c>
      <c r="P188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Kommunikation</v>
      </c>
      <c r="Q188" s="6" t="s">
        <v>852</v>
      </c>
    </row>
    <row r="189" spans="1:17" x14ac:dyDescent="0.25">
      <c r="A189" s="1" t="s">
        <v>8</v>
      </c>
      <c r="B18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sport-och-fritid-friluftsliv-och-beredskap-kylvaskor-och-forvaring</v>
      </c>
      <c r="C189" s="3" t="s">
        <v>204</v>
      </c>
      <c r="D189" s="3" t="s">
        <v>464</v>
      </c>
      <c r="E189" s="3" t="s">
        <v>428</v>
      </c>
      <c r="F189" s="3"/>
      <c r="G189" s="4" t="b">
        <v>1</v>
      </c>
      <c r="H189" s="5"/>
      <c r="I189" s="4" t="b">
        <v>1</v>
      </c>
      <c r="J189" s="5"/>
      <c r="K189" s="5"/>
      <c r="L189" s="5"/>
      <c r="M189" s="5"/>
      <c r="N189" s="2" t="str">
        <f>Table1[[#This Row],[Level1]]</f>
        <v>Sport &amp; Fritid</v>
      </c>
      <c r="O189" s="2" t="str">
        <f>Table1[[#This Row],[Level1]]
&amp;IF(Table1[[#This Row],[Level2]]&lt;&gt;""," &gt; "&amp;Table1[[#This Row],[Level2]],"")</f>
        <v>Sport &amp; Fritid &gt; Friluftsliv &amp; beredskap</v>
      </c>
      <c r="P189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Kylväskor &amp; förvaring</v>
      </c>
      <c r="Q189" s="6" t="s">
        <v>853</v>
      </c>
    </row>
    <row r="190" spans="1:17" x14ac:dyDescent="0.25">
      <c r="A190" s="1" t="s">
        <v>8</v>
      </c>
      <c r="B19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sport-och-fritid-friluftsliv-och-beredskap-luftmadrasser-och-liggunderlag</v>
      </c>
      <c r="C190" s="3" t="s">
        <v>204</v>
      </c>
      <c r="D190" s="3" t="s">
        <v>464</v>
      </c>
      <c r="E190" s="3" t="s">
        <v>211</v>
      </c>
      <c r="F190" s="3"/>
      <c r="G190" s="4" t="b">
        <v>1</v>
      </c>
      <c r="H190" s="5"/>
      <c r="I190" s="4" t="b">
        <v>1</v>
      </c>
      <c r="J190" s="5"/>
      <c r="K190" s="5"/>
      <c r="L190" s="5"/>
      <c r="M190" s="5"/>
      <c r="N190" s="2" t="str">
        <f>Table1[[#This Row],[Level1]]</f>
        <v>Sport &amp; Fritid</v>
      </c>
      <c r="O190" s="2" t="str">
        <f>Table1[[#This Row],[Level1]]
&amp;IF(Table1[[#This Row],[Level2]]&lt;&gt;""," &gt; "&amp;Table1[[#This Row],[Level2]],"")</f>
        <v>Sport &amp; Fritid &gt; Friluftsliv &amp; beredskap</v>
      </c>
      <c r="P190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Luftmadrasser &amp; liggunderlag</v>
      </c>
      <c r="Q190" s="6" t="s">
        <v>854</v>
      </c>
    </row>
    <row r="191" spans="1:17" x14ac:dyDescent="0.25">
      <c r="A191" s="1" t="s">
        <v>8</v>
      </c>
      <c r="B19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sport-och-fritid-friluftsliv-och-beredskap-matlagning-utomhus</v>
      </c>
      <c r="C191" s="3" t="s">
        <v>204</v>
      </c>
      <c r="D191" s="3" t="s">
        <v>464</v>
      </c>
      <c r="E191" s="3" t="s">
        <v>206</v>
      </c>
      <c r="F191" s="3"/>
      <c r="G191" s="4" t="b">
        <v>1</v>
      </c>
      <c r="H191" s="5"/>
      <c r="I191" s="4" t="b">
        <v>1</v>
      </c>
      <c r="J191" s="5"/>
      <c r="K191" s="5"/>
      <c r="L191" s="5"/>
      <c r="M191" s="5"/>
      <c r="N191" s="2" t="str">
        <f>Table1[[#This Row],[Level1]]</f>
        <v>Sport &amp; Fritid</v>
      </c>
      <c r="O191" s="2" t="str">
        <f>Table1[[#This Row],[Level1]]
&amp;IF(Table1[[#This Row],[Level2]]&lt;&gt;""," &gt; "&amp;Table1[[#This Row],[Level2]],"")</f>
        <v>Sport &amp; Fritid &gt; Friluftsliv &amp; beredskap</v>
      </c>
      <c r="P191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Matlagning utomhus</v>
      </c>
      <c r="Q191" s="6" t="s">
        <v>855</v>
      </c>
    </row>
    <row r="192" spans="1:17" x14ac:dyDescent="0.25">
      <c r="A192" s="1" t="s">
        <v>8</v>
      </c>
      <c r="B19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sport-och-fritid-friluftsliv-och-beredskap-termosar-och-vattenflaskor</v>
      </c>
      <c r="C192" s="3" t="s">
        <v>204</v>
      </c>
      <c r="D192" s="3" t="s">
        <v>464</v>
      </c>
      <c r="E192" s="3" t="s">
        <v>212</v>
      </c>
      <c r="F192" s="3"/>
      <c r="G192" s="4" t="b">
        <v>1</v>
      </c>
      <c r="H192" s="5"/>
      <c r="I192" s="4" t="b">
        <v>1</v>
      </c>
      <c r="J192" s="5"/>
      <c r="K192" s="5"/>
      <c r="L192" s="5"/>
      <c r="M192" s="5"/>
      <c r="N192" s="2" t="str">
        <f>Table1[[#This Row],[Level1]]</f>
        <v>Sport &amp; Fritid</v>
      </c>
      <c r="O192" s="2" t="str">
        <f>Table1[[#This Row],[Level1]]
&amp;IF(Table1[[#This Row],[Level2]]&lt;&gt;""," &gt; "&amp;Table1[[#This Row],[Level2]],"")</f>
        <v>Sport &amp; Fritid &gt; Friluftsliv &amp; beredskap</v>
      </c>
      <c r="P192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Termosar &amp; vattenflaskor</v>
      </c>
      <c r="Q192" s="6" t="s">
        <v>856</v>
      </c>
    </row>
    <row r="193" spans="1:17" x14ac:dyDescent="0.25">
      <c r="A193" s="1" t="s">
        <v>8</v>
      </c>
      <c r="B19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sport-och-fritid-friluftsliv-och-beredskap-verktyg-och-multiverktyg</v>
      </c>
      <c r="C193" s="3" t="s">
        <v>204</v>
      </c>
      <c r="D193" s="3" t="s">
        <v>464</v>
      </c>
      <c r="E193" s="3" t="s">
        <v>207</v>
      </c>
      <c r="F193" s="3"/>
      <c r="G193" s="4" t="b">
        <v>1</v>
      </c>
      <c r="H193" s="5"/>
      <c r="I193" s="4" t="b">
        <v>1</v>
      </c>
      <c r="J193" s="5"/>
      <c r="K193" s="5"/>
      <c r="L193" s="5"/>
      <c r="M193" s="5"/>
      <c r="N193" s="2" t="str">
        <f>Table1[[#This Row],[Level1]]</f>
        <v>Sport &amp; Fritid</v>
      </c>
      <c r="O193" s="2" t="str">
        <f>Table1[[#This Row],[Level1]]
&amp;IF(Table1[[#This Row],[Level2]]&lt;&gt;""," &gt; "&amp;Table1[[#This Row],[Level2]],"")</f>
        <v>Sport &amp; Fritid &gt; Friluftsliv &amp; beredskap</v>
      </c>
      <c r="P193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Friluftsliv &amp; beredskap &gt; Verktyg &amp; multiverktyg</v>
      </c>
      <c r="Q193" s="6" t="s">
        <v>857</v>
      </c>
    </row>
    <row r="194" spans="1:17" x14ac:dyDescent="0.25">
      <c r="A194" s="1" t="s">
        <v>8</v>
      </c>
      <c r="B19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mode-och-accessoarer-glasogon-blafilter-glasogon</v>
      </c>
      <c r="C194" s="3" t="s">
        <v>288</v>
      </c>
      <c r="D194" s="3" t="s">
        <v>298</v>
      </c>
      <c r="E194" s="3" t="s">
        <v>301</v>
      </c>
      <c r="F194" s="3"/>
      <c r="G194" s="4" t="b">
        <v>1</v>
      </c>
      <c r="H194" s="5"/>
      <c r="I194" s="4" t="b">
        <v>1</v>
      </c>
      <c r="J194" s="5"/>
      <c r="K194" s="5"/>
      <c r="L194" s="5"/>
      <c r="M194" s="5"/>
      <c r="N194" s="2" t="str">
        <f>Table1[[#This Row],[Level1]]</f>
        <v>Mode &amp; Accessoarer</v>
      </c>
      <c r="O194" s="2" t="str">
        <f>Table1[[#This Row],[Level1]]
&amp;IF(Table1[[#This Row],[Level2]]&lt;&gt;""," &gt; "&amp;Table1[[#This Row],[Level2]],"")</f>
        <v>Mode &amp; Accessoarer &gt; Glasögon</v>
      </c>
      <c r="P19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Glasögon &gt; Blåfilter-glasögon</v>
      </c>
      <c r="Q194" s="6" t="s">
        <v>795</v>
      </c>
    </row>
    <row r="195" spans="1:17" x14ac:dyDescent="0.25">
      <c r="A195" s="1" t="s">
        <v>8</v>
      </c>
      <c r="B19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mode-och-accessoarer-glasogon-clip-on-solglasogon</v>
      </c>
      <c r="C195" s="3" t="s">
        <v>288</v>
      </c>
      <c r="D195" s="3" t="s">
        <v>298</v>
      </c>
      <c r="E195" s="3" t="s">
        <v>300</v>
      </c>
      <c r="F195" s="3"/>
      <c r="G195" s="4" t="b">
        <v>1</v>
      </c>
      <c r="H195" s="5"/>
      <c r="I195" s="4" t="b">
        <v>1</v>
      </c>
      <c r="J195" s="5"/>
      <c r="K195" s="5"/>
      <c r="L195" s="5"/>
      <c r="M195" s="5"/>
      <c r="N195" s="2" t="str">
        <f>Table1[[#This Row],[Level1]]</f>
        <v>Mode &amp; Accessoarer</v>
      </c>
      <c r="O195" s="2" t="str">
        <f>Table1[[#This Row],[Level1]]
&amp;IF(Table1[[#This Row],[Level2]]&lt;&gt;""," &gt; "&amp;Table1[[#This Row],[Level2]],"")</f>
        <v>Mode &amp; Accessoarer &gt; Glasögon</v>
      </c>
      <c r="P19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Glasögon &gt; Clip-on solglasögon</v>
      </c>
      <c r="Q195" s="6" t="s">
        <v>796</v>
      </c>
    </row>
    <row r="196" spans="1:17" x14ac:dyDescent="0.25">
      <c r="A196" s="1" t="s">
        <v>8</v>
      </c>
      <c r="B19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mode-och-accessoarer-glasogon-lasglasogon</v>
      </c>
      <c r="C196" s="3" t="s">
        <v>288</v>
      </c>
      <c r="D196" s="3" t="s">
        <v>298</v>
      </c>
      <c r="E196" s="3" t="s">
        <v>303</v>
      </c>
      <c r="F196" s="3"/>
      <c r="G196" s="4" t="b">
        <v>1</v>
      </c>
      <c r="H196" s="5"/>
      <c r="I196" s="4" t="b">
        <v>1</v>
      </c>
      <c r="J196" s="5"/>
      <c r="K196" s="5"/>
      <c r="L196" s="5"/>
      <c r="M196" s="5"/>
      <c r="N196" s="2" t="str">
        <f>Table1[[#This Row],[Level1]]</f>
        <v>Mode &amp; Accessoarer</v>
      </c>
      <c r="O196" s="2" t="str">
        <f>Table1[[#This Row],[Level1]]
&amp;IF(Table1[[#This Row],[Level2]]&lt;&gt;""," &gt; "&amp;Table1[[#This Row],[Level2]],"")</f>
        <v>Mode &amp; Accessoarer &gt; Glasögon</v>
      </c>
      <c r="P196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Glasögon &gt; Läsglasögon</v>
      </c>
      <c r="Q196" s="6" t="s">
        <v>797</v>
      </c>
    </row>
    <row r="197" spans="1:17" x14ac:dyDescent="0.25">
      <c r="A197" s="1" t="s">
        <v>8</v>
      </c>
      <c r="B19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mode-och-accessoarer-glasogon-reservdelar-och-tillbehor</v>
      </c>
      <c r="C197" s="3" t="s">
        <v>288</v>
      </c>
      <c r="D197" s="3" t="s">
        <v>298</v>
      </c>
      <c r="E197" s="3" t="s">
        <v>302</v>
      </c>
      <c r="F197" s="3"/>
      <c r="G197" s="4" t="b">
        <v>1</v>
      </c>
      <c r="H197" s="5"/>
      <c r="I197" s="4" t="b">
        <v>1</v>
      </c>
      <c r="J197" s="5"/>
      <c r="K197" s="5"/>
      <c r="L197" s="5"/>
      <c r="M197" s="5"/>
      <c r="N197" s="2" t="str">
        <f>Table1[[#This Row],[Level1]]</f>
        <v>Mode &amp; Accessoarer</v>
      </c>
      <c r="O197" s="2" t="str">
        <f>Table1[[#This Row],[Level1]]
&amp;IF(Table1[[#This Row],[Level2]]&lt;&gt;""," &gt; "&amp;Table1[[#This Row],[Level2]],"")</f>
        <v>Mode &amp; Accessoarer &gt; Glasögon</v>
      </c>
      <c r="P197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Glasögon &gt; Reservdelar &amp; tillbehör</v>
      </c>
      <c r="Q197" s="6" t="s">
        <v>798</v>
      </c>
    </row>
    <row r="198" spans="1:17" x14ac:dyDescent="0.25">
      <c r="A198" s="1" t="s">
        <v>8</v>
      </c>
      <c r="B19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mode-och-accessoarer-glasogon-solglasogon</v>
      </c>
      <c r="C198" s="3" t="s">
        <v>288</v>
      </c>
      <c r="D198" s="3" t="s">
        <v>298</v>
      </c>
      <c r="E198" s="3" t="s">
        <v>299</v>
      </c>
      <c r="F198" s="3"/>
      <c r="G198" s="4" t="b">
        <v>1</v>
      </c>
      <c r="H198" s="5"/>
      <c r="I198" s="4" t="b">
        <v>1</v>
      </c>
      <c r="J198" s="5"/>
      <c r="K198" s="5"/>
      <c r="L198" s="5"/>
      <c r="M198" s="5"/>
      <c r="N198" s="2" t="str">
        <f>Table1[[#This Row],[Level1]]</f>
        <v>Mode &amp; Accessoarer</v>
      </c>
      <c r="O198" s="2" t="str">
        <f>Table1[[#This Row],[Level1]]
&amp;IF(Table1[[#This Row],[Level2]]&lt;&gt;""," &gt; "&amp;Table1[[#This Row],[Level2]],"")</f>
        <v>Mode &amp; Accessoarer &gt; Glasögon</v>
      </c>
      <c r="P198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Glasögon &gt; Solglasögon</v>
      </c>
      <c r="Q198" s="6" t="s">
        <v>799</v>
      </c>
    </row>
    <row r="199" spans="1:17" x14ac:dyDescent="0.25">
      <c r="A199" s="1" t="s">
        <v>8</v>
      </c>
      <c r="B19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halsa-och-skonhet-har-och-styling-haraccessoarer</v>
      </c>
      <c r="C199" s="3" t="s">
        <v>14</v>
      </c>
      <c r="D199" s="3" t="s">
        <v>452</v>
      </c>
      <c r="E199" s="3" t="s">
        <v>47</v>
      </c>
      <c r="F199" s="3"/>
      <c r="G199" s="4" t="b">
        <v>1</v>
      </c>
      <c r="H199" s="5"/>
      <c r="I199" s="4" t="b">
        <v>1</v>
      </c>
      <c r="J199" s="5"/>
      <c r="K199" s="5"/>
      <c r="L199" s="5"/>
      <c r="M199" s="5"/>
      <c r="N199" s="2" t="str">
        <f>Table1[[#This Row],[Level1]]</f>
        <v>Hälsa &amp; Skönhet</v>
      </c>
      <c r="O199" s="2" t="str">
        <f>Table1[[#This Row],[Level1]]
&amp;IF(Table1[[#This Row],[Level2]]&lt;&gt;""," &gt; "&amp;Table1[[#This Row],[Level2]],"")</f>
        <v>Hälsa &amp; Skönhet &gt; Hår &amp; styling</v>
      </c>
      <c r="P19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Hår &amp; styling &gt; Håraccessoarer</v>
      </c>
      <c r="Q199" s="6" t="s">
        <v>523</v>
      </c>
    </row>
    <row r="200" spans="1:17" x14ac:dyDescent="0.25">
      <c r="A200" s="1" t="s">
        <v>8</v>
      </c>
      <c r="B20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halsa-och-skonhet-har-och-styling-harborstar-och-kammar</v>
      </c>
      <c r="C200" s="3" t="s">
        <v>14</v>
      </c>
      <c r="D200" s="3" t="s">
        <v>452</v>
      </c>
      <c r="E200" s="3" t="s">
        <v>381</v>
      </c>
      <c r="F200" s="3"/>
      <c r="G200" s="4" t="b">
        <v>1</v>
      </c>
      <c r="H200" s="5"/>
      <c r="I200" s="4" t="b">
        <v>1</v>
      </c>
      <c r="J200" s="5"/>
      <c r="K200" s="5"/>
      <c r="L200" s="5"/>
      <c r="M200" s="5"/>
      <c r="N200" s="2" t="str">
        <f>Table1[[#This Row],[Level1]]</f>
        <v>Hälsa &amp; Skönhet</v>
      </c>
      <c r="O200" s="2" t="str">
        <f>Table1[[#This Row],[Level1]]
&amp;IF(Table1[[#This Row],[Level2]]&lt;&gt;""," &gt; "&amp;Table1[[#This Row],[Level2]],"")</f>
        <v>Hälsa &amp; Skönhet &gt; Hår &amp; styling</v>
      </c>
      <c r="P200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Hår &amp; styling &gt; Hårborstar &amp; kammar</v>
      </c>
      <c r="Q200" s="6" t="s">
        <v>524</v>
      </c>
    </row>
    <row r="201" spans="1:17" x14ac:dyDescent="0.25">
      <c r="A201" s="1" t="s">
        <v>8</v>
      </c>
      <c r="B20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halsa-och-skonhet-har-och-styling-locktanger-och-plattang</v>
      </c>
      <c r="C201" s="3" t="s">
        <v>14</v>
      </c>
      <c r="D201" s="3" t="s">
        <v>452</v>
      </c>
      <c r="E201" s="3" t="s">
        <v>379</v>
      </c>
      <c r="F201" s="3"/>
      <c r="G201" s="4" t="b">
        <v>1</v>
      </c>
      <c r="H201" s="5"/>
      <c r="I201" s="4" t="b">
        <v>1</v>
      </c>
      <c r="J201" s="5"/>
      <c r="K201" s="5"/>
      <c r="L201" s="5"/>
      <c r="M201" s="5"/>
      <c r="N201" s="2" t="str">
        <f>Table1[[#This Row],[Level1]]</f>
        <v>Hälsa &amp; Skönhet</v>
      </c>
      <c r="O201" s="2" t="str">
        <f>Table1[[#This Row],[Level1]]
&amp;IF(Table1[[#This Row],[Level2]]&lt;&gt;""," &gt; "&amp;Table1[[#This Row],[Level2]],"")</f>
        <v>Hälsa &amp; Skönhet &gt; Hår &amp; styling</v>
      </c>
      <c r="P201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Hår &amp; styling &gt; Locktänger &amp; plattång</v>
      </c>
      <c r="Q201" s="6" t="s">
        <v>525</v>
      </c>
    </row>
    <row r="202" spans="1:17" x14ac:dyDescent="0.25">
      <c r="A202" s="1" t="s">
        <v>8</v>
      </c>
      <c r="B20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halsa-och-skonhet-har-och-styling-varmeborstar-och-harfonar</v>
      </c>
      <c r="C202" s="3" t="s">
        <v>14</v>
      </c>
      <c r="D202" s="3" t="s">
        <v>452</v>
      </c>
      <c r="E202" s="3" t="s">
        <v>380</v>
      </c>
      <c r="F202" s="3"/>
      <c r="G202" s="4" t="b">
        <v>1</v>
      </c>
      <c r="H202" s="5"/>
      <c r="I202" s="4" t="b">
        <v>1</v>
      </c>
      <c r="J202" s="5"/>
      <c r="K202" s="5"/>
      <c r="L202" s="5"/>
      <c r="M202" s="5"/>
      <c r="N202" s="2" t="str">
        <f>Table1[[#This Row],[Level1]]</f>
        <v>Hälsa &amp; Skönhet</v>
      </c>
      <c r="O202" s="2" t="str">
        <f>Table1[[#This Row],[Level1]]
&amp;IF(Table1[[#This Row],[Level2]]&lt;&gt;""," &gt; "&amp;Table1[[#This Row],[Level2]],"")</f>
        <v>Hälsa &amp; Skönhet &gt; Hår &amp; styling</v>
      </c>
      <c r="P202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Hår &amp; styling &gt; Värmeborstar &amp; hårfönar</v>
      </c>
      <c r="Q202" s="6" t="s">
        <v>526</v>
      </c>
    </row>
    <row r="203" spans="1:17" x14ac:dyDescent="0.25">
      <c r="A203" s="1" t="s">
        <v>8</v>
      </c>
      <c r="B20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halsa-och-skonhet-hjalpmedel-ergonomiska-kuddar</v>
      </c>
      <c r="C203" s="3" t="s">
        <v>14</v>
      </c>
      <c r="D203" s="3" t="s">
        <v>74</v>
      </c>
      <c r="E203" s="3" t="s">
        <v>75</v>
      </c>
      <c r="F203" s="3"/>
      <c r="G203" s="4" t="b">
        <v>1</v>
      </c>
      <c r="H203" s="5"/>
      <c r="I203" s="4" t="b">
        <v>1</v>
      </c>
      <c r="J203" s="5"/>
      <c r="K203" s="5"/>
      <c r="L203" s="5"/>
      <c r="M203" s="5"/>
      <c r="N203" s="2" t="str">
        <f>Table1[[#This Row],[Level1]]</f>
        <v>Hälsa &amp; Skönhet</v>
      </c>
      <c r="O203" s="2" t="str">
        <f>Table1[[#This Row],[Level1]]
&amp;IF(Table1[[#This Row],[Level2]]&lt;&gt;""," &gt; "&amp;Table1[[#This Row],[Level2]],"")</f>
        <v>Hälsa &amp; Skönhet &gt; Hjälpmedel</v>
      </c>
      <c r="P203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Hjälpmedel &gt; Ergonomiska kuddar</v>
      </c>
      <c r="Q203" s="6" t="s">
        <v>527</v>
      </c>
    </row>
    <row r="204" spans="1:17" x14ac:dyDescent="0.25">
      <c r="A204" s="1" t="s">
        <v>8</v>
      </c>
      <c r="B20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halsa-och-skonhet-hjalpmedel-ganghjalpmedel</v>
      </c>
      <c r="C204" s="3" t="s">
        <v>14</v>
      </c>
      <c r="D204" s="3" t="s">
        <v>74</v>
      </c>
      <c r="E204" s="3" t="s">
        <v>76</v>
      </c>
      <c r="F204" s="3"/>
      <c r="G204" s="4" t="b">
        <v>1</v>
      </c>
      <c r="H204" s="5"/>
      <c r="I204" s="4" t="b">
        <v>1</v>
      </c>
      <c r="J204" s="5"/>
      <c r="K204" s="5"/>
      <c r="L204" s="5"/>
      <c r="M204" s="5"/>
      <c r="N204" s="2" t="str">
        <f>Table1[[#This Row],[Level1]]</f>
        <v>Hälsa &amp; Skönhet</v>
      </c>
      <c r="O204" s="2" t="str">
        <f>Table1[[#This Row],[Level1]]
&amp;IF(Table1[[#This Row],[Level2]]&lt;&gt;""," &gt; "&amp;Table1[[#This Row],[Level2]],"")</f>
        <v>Hälsa &amp; Skönhet &gt; Hjälpmedel</v>
      </c>
      <c r="P204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Hjälpmedel &gt; Gånghjälpmedel</v>
      </c>
      <c r="Q204" s="6" t="s">
        <v>528</v>
      </c>
    </row>
    <row r="205" spans="1:17" x14ac:dyDescent="0.25">
      <c r="A205" s="1" t="s">
        <v>8</v>
      </c>
      <c r="B20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halsa-och-skonhet-hjalpmedel-grepphjalpmedel</v>
      </c>
      <c r="C205" s="3" t="s">
        <v>14</v>
      </c>
      <c r="D205" s="3" t="s">
        <v>74</v>
      </c>
      <c r="E205" s="3" t="s">
        <v>77</v>
      </c>
      <c r="F205" s="3"/>
      <c r="G205" s="4" t="b">
        <v>1</v>
      </c>
      <c r="H205" s="5"/>
      <c r="I205" s="4" t="b">
        <v>1</v>
      </c>
      <c r="J205" s="5"/>
      <c r="K205" s="5"/>
      <c r="L205" s="5"/>
      <c r="M205" s="5"/>
      <c r="N205" s="2" t="str">
        <f>Table1[[#This Row],[Level1]]</f>
        <v>Hälsa &amp; Skönhet</v>
      </c>
      <c r="O205" s="2" t="str">
        <f>Table1[[#This Row],[Level1]]
&amp;IF(Table1[[#This Row],[Level2]]&lt;&gt;""," &gt; "&amp;Table1[[#This Row],[Level2]],"")</f>
        <v>Hälsa &amp; Skönhet &gt; Hjälpmedel</v>
      </c>
      <c r="P205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Hjälpmedel &gt; Grepphjälpmedel</v>
      </c>
      <c r="Q205" s="6" t="s">
        <v>529</v>
      </c>
    </row>
    <row r="206" spans="1:17" x14ac:dyDescent="0.25">
      <c r="A206" s="1" t="s">
        <v>8</v>
      </c>
      <c r="B20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halsa-och-skonhet-hjalpmedel-pakladningshjalpmedel</v>
      </c>
      <c r="C206" s="3" t="s">
        <v>14</v>
      </c>
      <c r="D206" s="3" t="s">
        <v>74</v>
      </c>
      <c r="E206" s="3" t="s">
        <v>79</v>
      </c>
      <c r="F206" s="3"/>
      <c r="G206" s="4" t="b">
        <v>1</v>
      </c>
      <c r="H206" s="5"/>
      <c r="I206" s="4" t="b">
        <v>1</v>
      </c>
      <c r="J206" s="5"/>
      <c r="K206" s="5"/>
      <c r="L206" s="5"/>
      <c r="M206" s="5"/>
      <c r="N206" s="2" t="str">
        <f>Table1[[#This Row],[Level1]]</f>
        <v>Hälsa &amp; Skönhet</v>
      </c>
      <c r="O206" s="2" t="str">
        <f>Table1[[#This Row],[Level1]]
&amp;IF(Table1[[#This Row],[Level2]]&lt;&gt;""," &gt; "&amp;Table1[[#This Row],[Level2]],"")</f>
        <v>Hälsa &amp; Skönhet &gt; Hjälpmedel</v>
      </c>
      <c r="P206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Hjälpmedel &gt; Påklädningshjälpmedel</v>
      </c>
      <c r="Q206" s="6" t="s">
        <v>530</v>
      </c>
    </row>
    <row r="207" spans="1:17" x14ac:dyDescent="0.25">
      <c r="A207" s="1" t="s">
        <v>8</v>
      </c>
      <c r="B20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halsa-och-skonhet-hjalpmedel-toalett-och-badrumshjalpmedel</v>
      </c>
      <c r="C207" s="3" t="s">
        <v>14</v>
      </c>
      <c r="D207" s="3" t="s">
        <v>74</v>
      </c>
      <c r="E207" s="3" t="s">
        <v>78</v>
      </c>
      <c r="F207" s="3"/>
      <c r="G207" s="4" t="b">
        <v>1</v>
      </c>
      <c r="H207" s="5"/>
      <c r="I207" s="4" t="b">
        <v>1</v>
      </c>
      <c r="J207" s="5"/>
      <c r="K207" s="5"/>
      <c r="L207" s="5"/>
      <c r="M207" s="5"/>
      <c r="N207" s="2" t="str">
        <f>Table1[[#This Row],[Level1]]</f>
        <v>Hälsa &amp; Skönhet</v>
      </c>
      <c r="O207" s="2" t="str">
        <f>Table1[[#This Row],[Level1]]
&amp;IF(Table1[[#This Row],[Level2]]&lt;&gt;""," &gt; "&amp;Table1[[#This Row],[Level2]],"")</f>
        <v>Hälsa &amp; Skönhet &gt; Hjälpmedel</v>
      </c>
      <c r="P207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Hjälpmedel &gt; Toalett- &amp; badrumshjälpmedel</v>
      </c>
      <c r="Q207" s="6" t="s">
        <v>531</v>
      </c>
    </row>
    <row r="208" spans="1:17" x14ac:dyDescent="0.25">
      <c r="A208" s="1" t="s">
        <v>8</v>
      </c>
      <c r="B20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hemelektronik-horlurar-och-hogtalare-bluetooth-hogtalare</v>
      </c>
      <c r="C208" s="3" t="s">
        <v>331</v>
      </c>
      <c r="D208" s="3" t="s">
        <v>477</v>
      </c>
      <c r="E208" s="3" t="s">
        <v>336</v>
      </c>
      <c r="F208" s="3"/>
      <c r="G208" s="4" t="b">
        <v>1</v>
      </c>
      <c r="H208" s="5"/>
      <c r="I208" s="4" t="b">
        <v>1</v>
      </c>
      <c r="J208" s="5"/>
      <c r="K208" s="5"/>
      <c r="L208" s="5"/>
      <c r="M208" s="5"/>
      <c r="N208" s="2" t="str">
        <f>Table1[[#This Row],[Level1]]</f>
        <v>Hemelektronik</v>
      </c>
      <c r="O208" s="2" t="str">
        <f>Table1[[#This Row],[Level1]]
&amp;IF(Table1[[#This Row],[Level2]]&lt;&gt;""," &gt; "&amp;Table1[[#This Row],[Level2]],"")</f>
        <v>Hemelektronik &gt; Hörlurar &amp; högtalare</v>
      </c>
      <c r="P208" s="2" t="str">
        <f>Table1[[#This Row],[Level1]]
&amp;IF(Table1[[#This Row],[Level2]]&lt;&gt;""," &gt; "&amp;Table1[[#This Row],[Level2]],"")
&amp;IF(Table1[[#This Row],[Level3]]&lt;&gt;""," &gt; "&amp;Table1[[#This Row],[Level3]],"")</f>
        <v>Hemelektronik &gt; Hörlurar &amp; högtalare &gt; Bluetooth-högtalare</v>
      </c>
      <c r="Q208" s="6" t="s">
        <v>631</v>
      </c>
    </row>
    <row r="209" spans="1:17" x14ac:dyDescent="0.25">
      <c r="A209" s="1" t="s">
        <v>8</v>
      </c>
      <c r="B20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hemelektronik-horlurar-och-hogtalare-gamingheadset</v>
      </c>
      <c r="C209" s="3" t="s">
        <v>331</v>
      </c>
      <c r="D209" s="3" t="s">
        <v>477</v>
      </c>
      <c r="E209" s="3" t="s">
        <v>333</v>
      </c>
      <c r="F209" s="3"/>
      <c r="G209" s="4" t="b">
        <v>1</v>
      </c>
      <c r="H209" s="5"/>
      <c r="I209" s="4" t="b">
        <v>1</v>
      </c>
      <c r="J209" s="5"/>
      <c r="K209" s="5"/>
      <c r="L209" s="5"/>
      <c r="M209" s="5"/>
      <c r="N209" s="2" t="str">
        <f>Table1[[#This Row],[Level1]]</f>
        <v>Hemelektronik</v>
      </c>
      <c r="O209" s="2" t="str">
        <f>Table1[[#This Row],[Level1]]
&amp;IF(Table1[[#This Row],[Level2]]&lt;&gt;""," &gt; "&amp;Table1[[#This Row],[Level2]],"")</f>
        <v>Hemelektronik &gt; Hörlurar &amp; högtalare</v>
      </c>
      <c r="P209" s="2" t="str">
        <f>Table1[[#This Row],[Level1]]
&amp;IF(Table1[[#This Row],[Level2]]&lt;&gt;""," &gt; "&amp;Table1[[#This Row],[Level2]],"")
&amp;IF(Table1[[#This Row],[Level3]]&lt;&gt;""," &gt; "&amp;Table1[[#This Row],[Level3]],"")</f>
        <v>Hemelektronik &gt; Hörlurar &amp; högtalare &gt; Gamingheadset</v>
      </c>
      <c r="Q209" s="6" t="s">
        <v>632</v>
      </c>
    </row>
    <row r="210" spans="1:17" x14ac:dyDescent="0.25">
      <c r="A210" s="1" t="s">
        <v>8</v>
      </c>
      <c r="B21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hemelektronik-horlurar-och-hogtalare-horlurar</v>
      </c>
      <c r="C210" s="3" t="s">
        <v>331</v>
      </c>
      <c r="D210" s="3" t="s">
        <v>477</v>
      </c>
      <c r="E210" s="3" t="s">
        <v>332</v>
      </c>
      <c r="F210" s="3"/>
      <c r="G210" s="4" t="b">
        <v>1</v>
      </c>
      <c r="H210" s="5"/>
      <c r="I210" s="4" t="b">
        <v>1</v>
      </c>
      <c r="J210" s="5"/>
      <c r="K210" s="5"/>
      <c r="L210" s="5"/>
      <c r="M210" s="5"/>
      <c r="N210" s="2" t="str">
        <f>Table1[[#This Row],[Level1]]</f>
        <v>Hemelektronik</v>
      </c>
      <c r="O210" s="2" t="str">
        <f>Table1[[#This Row],[Level1]]
&amp;IF(Table1[[#This Row],[Level2]]&lt;&gt;""," &gt; "&amp;Table1[[#This Row],[Level2]],"")</f>
        <v>Hemelektronik &gt; Hörlurar &amp; högtalare</v>
      </c>
      <c r="P210" s="2" t="str">
        <f>Table1[[#This Row],[Level1]]
&amp;IF(Table1[[#This Row],[Level2]]&lt;&gt;""," &gt; "&amp;Table1[[#This Row],[Level2]],"")
&amp;IF(Table1[[#This Row],[Level3]]&lt;&gt;""," &gt; "&amp;Table1[[#This Row],[Level3]],"")</f>
        <v>Hemelektronik &gt; Hörlurar &amp; högtalare &gt; Hörlurar</v>
      </c>
      <c r="Q210" s="6" t="s">
        <v>633</v>
      </c>
    </row>
    <row r="211" spans="1:17" x14ac:dyDescent="0.25">
      <c r="A211" s="1" t="s">
        <v>8</v>
      </c>
      <c r="B21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hemelektronik-horlurar-och-hogtalare-horlursfodral-och-tillbehor</v>
      </c>
      <c r="C211" s="3" t="s">
        <v>331</v>
      </c>
      <c r="D211" s="3" t="s">
        <v>477</v>
      </c>
      <c r="E211" s="3" t="s">
        <v>337</v>
      </c>
      <c r="F211" s="3"/>
      <c r="G211" s="4" t="b">
        <v>1</v>
      </c>
      <c r="H211" s="5"/>
      <c r="I211" s="4" t="b">
        <v>1</v>
      </c>
      <c r="J211" s="5"/>
      <c r="K211" s="5"/>
      <c r="L211" s="5"/>
      <c r="M211" s="5"/>
      <c r="N211" s="2" t="str">
        <f>Table1[[#This Row],[Level1]]</f>
        <v>Hemelektronik</v>
      </c>
      <c r="O211" s="2" t="str">
        <f>Table1[[#This Row],[Level1]]
&amp;IF(Table1[[#This Row],[Level2]]&lt;&gt;""," &gt; "&amp;Table1[[#This Row],[Level2]],"")</f>
        <v>Hemelektronik &gt; Hörlurar &amp; högtalare</v>
      </c>
      <c r="P211" s="2" t="str">
        <f>Table1[[#This Row],[Level1]]
&amp;IF(Table1[[#This Row],[Level2]]&lt;&gt;""," &gt; "&amp;Table1[[#This Row],[Level2]],"")
&amp;IF(Table1[[#This Row],[Level3]]&lt;&gt;""," &gt; "&amp;Table1[[#This Row],[Level3]],"")</f>
        <v>Hemelektronik &gt; Hörlurar &amp; högtalare &gt; Hörlursfodral &amp; tillbehör</v>
      </c>
      <c r="Q211" s="6" t="s">
        <v>634</v>
      </c>
    </row>
    <row r="212" spans="1:17" x14ac:dyDescent="0.25">
      <c r="A212" s="1" t="s">
        <v>8</v>
      </c>
      <c r="B21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hemelektronik-horlurar-och-hogtalare-oronkuddar-och-reservdelar</v>
      </c>
      <c r="C212" s="3" t="s">
        <v>331</v>
      </c>
      <c r="D212" s="3" t="s">
        <v>477</v>
      </c>
      <c r="E212" s="3" t="s">
        <v>335</v>
      </c>
      <c r="F212" s="3"/>
      <c r="G212" s="4" t="b">
        <v>1</v>
      </c>
      <c r="H212" s="5"/>
      <c r="I212" s="4" t="b">
        <v>1</v>
      </c>
      <c r="J212" s="5"/>
      <c r="K212" s="5"/>
      <c r="L212" s="5"/>
      <c r="M212" s="5"/>
      <c r="N212" s="2" t="str">
        <f>Table1[[#This Row],[Level1]]</f>
        <v>Hemelektronik</v>
      </c>
      <c r="O212" s="2" t="str">
        <f>Table1[[#This Row],[Level1]]
&amp;IF(Table1[[#This Row],[Level2]]&lt;&gt;""," &gt; "&amp;Table1[[#This Row],[Level2]],"")</f>
        <v>Hemelektronik &gt; Hörlurar &amp; högtalare</v>
      </c>
      <c r="P212" s="2" t="str">
        <f>Table1[[#This Row],[Level1]]
&amp;IF(Table1[[#This Row],[Level2]]&lt;&gt;""," &gt; "&amp;Table1[[#This Row],[Level2]],"")
&amp;IF(Table1[[#This Row],[Level3]]&lt;&gt;""," &gt; "&amp;Table1[[#This Row],[Level3]],"")</f>
        <v>Hemelektronik &gt; Hörlurar &amp; högtalare &gt; Öronkuddar &amp; reservdelar</v>
      </c>
      <c r="Q212" s="6" t="s">
        <v>635</v>
      </c>
    </row>
    <row r="213" spans="1:17" x14ac:dyDescent="0.25">
      <c r="A213" s="1" t="s">
        <v>8</v>
      </c>
      <c r="B21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hemelektronik-horlurar-och-hogtalare-sporthorlurar</v>
      </c>
      <c r="C213" s="3" t="s">
        <v>331</v>
      </c>
      <c r="D213" s="3" t="s">
        <v>477</v>
      </c>
      <c r="E213" s="3" t="s">
        <v>334</v>
      </c>
      <c r="F213" s="3"/>
      <c r="G213" s="4" t="b">
        <v>1</v>
      </c>
      <c r="H213" s="5"/>
      <c r="I213" s="4" t="b">
        <v>1</v>
      </c>
      <c r="J213" s="5"/>
      <c r="K213" s="5"/>
      <c r="L213" s="5"/>
      <c r="M213" s="5"/>
      <c r="N213" s="2" t="str">
        <f>Table1[[#This Row],[Level1]]</f>
        <v>Hemelektronik</v>
      </c>
      <c r="O213" s="2" t="str">
        <f>Table1[[#This Row],[Level1]]
&amp;IF(Table1[[#This Row],[Level2]]&lt;&gt;""," &gt; "&amp;Table1[[#This Row],[Level2]],"")</f>
        <v>Hemelektronik &gt; Hörlurar &amp; högtalare</v>
      </c>
      <c r="P213" s="2" t="str">
        <f>Table1[[#This Row],[Level1]]
&amp;IF(Table1[[#This Row],[Level2]]&lt;&gt;""," &gt; "&amp;Table1[[#This Row],[Level2]],"")
&amp;IF(Table1[[#This Row],[Level3]]&lt;&gt;""," &gt; "&amp;Table1[[#This Row],[Level3]],"")</f>
        <v>Hemelektronik &gt; Hörlurar &amp; högtalare &gt; Sporthörlurar</v>
      </c>
      <c r="Q213" s="6" t="s">
        <v>636</v>
      </c>
    </row>
    <row r="214" spans="1:17" x14ac:dyDescent="0.25">
      <c r="A214" s="1" t="s">
        <v>8</v>
      </c>
      <c r="B21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sport-och-fritid-husdjur-akvarie-och-terrarium-tillbehor</v>
      </c>
      <c r="C214" s="3" t="s">
        <v>204</v>
      </c>
      <c r="D214" s="3" t="s">
        <v>241</v>
      </c>
      <c r="E214" s="3" t="s">
        <v>437</v>
      </c>
      <c r="F214" s="3"/>
      <c r="G214" s="4" t="b">
        <v>1</v>
      </c>
      <c r="H214" s="5"/>
      <c r="I214" s="4" t="b">
        <v>1</v>
      </c>
      <c r="J214" s="5"/>
      <c r="K214" s="5"/>
      <c r="L214" s="5"/>
      <c r="M214" s="5"/>
      <c r="N214" s="2" t="str">
        <f>Table1[[#This Row],[Level1]]</f>
        <v>Sport &amp; Fritid</v>
      </c>
      <c r="O214" s="2" t="str">
        <f>Table1[[#This Row],[Level1]]
&amp;IF(Table1[[#This Row],[Level2]]&lt;&gt;""," &gt; "&amp;Table1[[#This Row],[Level2]],"")</f>
        <v>Sport &amp; Fritid &gt; Husdjur</v>
      </c>
      <c r="P214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Husdjur &gt; Akvarie- &amp; terrarium-tillbehör</v>
      </c>
      <c r="Q214" s="6" t="s">
        <v>858</v>
      </c>
    </row>
    <row r="215" spans="1:17" x14ac:dyDescent="0.25">
      <c r="A215" s="1" t="s">
        <v>8</v>
      </c>
      <c r="B21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sport-och-fritid-husdjur-hast</v>
      </c>
      <c r="C215" s="3" t="s">
        <v>204</v>
      </c>
      <c r="D215" s="3" t="s">
        <v>241</v>
      </c>
      <c r="E215" s="3" t="s">
        <v>244</v>
      </c>
      <c r="F215" s="3"/>
      <c r="G215" s="4" t="b">
        <v>1</v>
      </c>
      <c r="H215" s="5"/>
      <c r="I215" s="4" t="b">
        <v>1</v>
      </c>
      <c r="J215" s="5"/>
      <c r="K215" s="5"/>
      <c r="L215" s="5"/>
      <c r="M215" s="5"/>
      <c r="N215" s="2" t="str">
        <f>Table1[[#This Row],[Level1]]</f>
        <v>Sport &amp; Fritid</v>
      </c>
      <c r="O215" s="2" t="str">
        <f>Table1[[#This Row],[Level1]]
&amp;IF(Table1[[#This Row],[Level2]]&lt;&gt;""," &gt; "&amp;Table1[[#This Row],[Level2]],"")</f>
        <v>Sport &amp; Fritid &gt; Husdjur</v>
      </c>
      <c r="P215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Husdjur &gt; Häst</v>
      </c>
      <c r="Q215" s="6" t="s">
        <v>859</v>
      </c>
    </row>
    <row r="216" spans="1:17" x14ac:dyDescent="0.25">
      <c r="A216" s="1" t="s">
        <v>8</v>
      </c>
      <c r="B21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sport-och-fritid-husdjur-hund</v>
      </c>
      <c r="C216" s="3" t="s">
        <v>204</v>
      </c>
      <c r="D216" s="3" t="s">
        <v>241</v>
      </c>
      <c r="E216" s="3" t="s">
        <v>242</v>
      </c>
      <c r="F216" s="3"/>
      <c r="G216" s="4" t="b">
        <v>1</v>
      </c>
      <c r="H216" s="5"/>
      <c r="I216" s="4" t="b">
        <v>1</v>
      </c>
      <c r="J216" s="5"/>
      <c r="K216" s="5"/>
      <c r="L216" s="5"/>
      <c r="M216" s="5"/>
      <c r="N216" s="2" t="str">
        <f>Table1[[#This Row],[Level1]]</f>
        <v>Sport &amp; Fritid</v>
      </c>
      <c r="O216" s="2" t="str">
        <f>Table1[[#This Row],[Level1]]
&amp;IF(Table1[[#This Row],[Level2]]&lt;&gt;""," &gt; "&amp;Table1[[#This Row],[Level2]],"")</f>
        <v>Sport &amp; Fritid &gt; Husdjur</v>
      </c>
      <c r="P216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Husdjur &gt; Hund</v>
      </c>
      <c r="Q216" s="6" t="s">
        <v>860</v>
      </c>
    </row>
    <row r="217" spans="1:17" x14ac:dyDescent="0.25">
      <c r="A217" s="1" t="s">
        <v>8</v>
      </c>
      <c r="B21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sport-och-fritid-husdjur-katt</v>
      </c>
      <c r="C217" s="3" t="s">
        <v>204</v>
      </c>
      <c r="D217" s="3" t="s">
        <v>241</v>
      </c>
      <c r="E217" s="3" t="s">
        <v>243</v>
      </c>
      <c r="F217" s="3"/>
      <c r="G217" s="4" t="b">
        <v>1</v>
      </c>
      <c r="H217" s="5"/>
      <c r="I217" s="4" t="b">
        <v>1</v>
      </c>
      <c r="J217" s="5"/>
      <c r="K217" s="5"/>
      <c r="L217" s="5"/>
      <c r="M217" s="5"/>
      <c r="N217" s="2" t="str">
        <f>Table1[[#This Row],[Level1]]</f>
        <v>Sport &amp; Fritid</v>
      </c>
      <c r="O217" s="2" t="str">
        <f>Table1[[#This Row],[Level1]]
&amp;IF(Table1[[#This Row],[Level2]]&lt;&gt;""," &gt; "&amp;Table1[[#This Row],[Level2]],"")</f>
        <v>Sport &amp; Fritid &gt; Husdjur</v>
      </c>
      <c r="P217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Husdjur &gt; Katt</v>
      </c>
      <c r="Q217" s="6" t="s">
        <v>861</v>
      </c>
    </row>
    <row r="218" spans="1:17" x14ac:dyDescent="0.25">
      <c r="A218" s="1" t="s">
        <v>8</v>
      </c>
      <c r="B21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sport-och-fritid-husdjur-smadjur</v>
      </c>
      <c r="C218" s="3" t="s">
        <v>204</v>
      </c>
      <c r="D218" s="3" t="s">
        <v>241</v>
      </c>
      <c r="E218" s="3" t="s">
        <v>245</v>
      </c>
      <c r="F218" s="3"/>
      <c r="G218" s="4" t="b">
        <v>1</v>
      </c>
      <c r="H218" s="5"/>
      <c r="I218" s="4" t="b">
        <v>1</v>
      </c>
      <c r="J218" s="5"/>
      <c r="K218" s="5"/>
      <c r="L218" s="5"/>
      <c r="M218" s="5"/>
      <c r="N218" s="2" t="str">
        <f>Table1[[#This Row],[Level1]]</f>
        <v>Sport &amp; Fritid</v>
      </c>
      <c r="O218" s="2" t="str">
        <f>Table1[[#This Row],[Level1]]
&amp;IF(Table1[[#This Row],[Level2]]&lt;&gt;""," &gt; "&amp;Table1[[#This Row],[Level2]],"")</f>
        <v>Sport &amp; Fritid &gt; Husdjur</v>
      </c>
      <c r="P218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Husdjur &gt; Smådjur</v>
      </c>
      <c r="Q218" s="6" t="s">
        <v>862</v>
      </c>
    </row>
    <row r="219" spans="1:17" x14ac:dyDescent="0.25">
      <c r="A219" s="1" t="s">
        <v>8</v>
      </c>
      <c r="B21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halsa-och-skonhet-hygien-och-halsa-blodtrycksmatare</v>
      </c>
      <c r="C219" s="3" t="s">
        <v>14</v>
      </c>
      <c r="D219" s="3" t="s">
        <v>48</v>
      </c>
      <c r="E219" s="3" t="s">
        <v>49</v>
      </c>
      <c r="F219" s="3"/>
      <c r="G219" s="4" t="b">
        <v>1</v>
      </c>
      <c r="H219" s="5"/>
      <c r="I219" s="4" t="b">
        <v>1</v>
      </c>
      <c r="J219" s="5"/>
      <c r="K219" s="5"/>
      <c r="L219" s="5"/>
      <c r="M219" s="5"/>
      <c r="N219" s="2" t="str">
        <f>Table1[[#This Row],[Level1]]</f>
        <v>Hälsa &amp; Skönhet</v>
      </c>
      <c r="O219" s="2" t="str">
        <f>Table1[[#This Row],[Level1]]
&amp;IF(Table1[[#This Row],[Level2]]&lt;&gt;""," &gt; "&amp;Table1[[#This Row],[Level2]],"")</f>
        <v>Hälsa &amp; Skönhet &gt; Hygien &amp; hälsa</v>
      </c>
      <c r="P21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Blodtrycksmätare</v>
      </c>
      <c r="Q219" s="6" t="s">
        <v>532</v>
      </c>
    </row>
    <row r="220" spans="1:17" x14ac:dyDescent="0.25">
      <c r="A220" s="1" t="s">
        <v>8</v>
      </c>
      <c r="B22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halsa-och-skonhet-hygien-och-halsa-doseringsaskar</v>
      </c>
      <c r="C220" s="3" t="s">
        <v>14</v>
      </c>
      <c r="D220" s="3" t="s">
        <v>48</v>
      </c>
      <c r="E220" s="3" t="s">
        <v>50</v>
      </c>
      <c r="F220" s="3"/>
      <c r="G220" s="4" t="b">
        <v>1</v>
      </c>
      <c r="H220" s="5"/>
      <c r="I220" s="4" t="b">
        <v>1</v>
      </c>
      <c r="J220" s="5"/>
      <c r="K220" s="5"/>
      <c r="L220" s="5"/>
      <c r="M220" s="5"/>
      <c r="N220" s="2" t="str">
        <f>Table1[[#This Row],[Level1]]</f>
        <v>Hälsa &amp; Skönhet</v>
      </c>
      <c r="O220" s="2" t="str">
        <f>Table1[[#This Row],[Level1]]
&amp;IF(Table1[[#This Row],[Level2]]&lt;&gt;""," &gt; "&amp;Table1[[#This Row],[Level2]],"")</f>
        <v>Hälsa &amp; Skönhet &gt; Hygien &amp; hälsa</v>
      </c>
      <c r="P220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Doseringsaskar</v>
      </c>
      <c r="Q220" s="6" t="s">
        <v>533</v>
      </c>
    </row>
    <row r="221" spans="1:17" x14ac:dyDescent="0.25">
      <c r="A221" s="1" t="s">
        <v>8</v>
      </c>
      <c r="B22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halsa-och-skonhet-hygien-och-halsa-febertermometrar</v>
      </c>
      <c r="C221" s="3" t="s">
        <v>14</v>
      </c>
      <c r="D221" s="3" t="s">
        <v>48</v>
      </c>
      <c r="E221" s="3" t="s">
        <v>51</v>
      </c>
      <c r="F221" s="3"/>
      <c r="G221" s="4" t="b">
        <v>1</v>
      </c>
      <c r="H221" s="5"/>
      <c r="I221" s="4" t="b">
        <v>1</v>
      </c>
      <c r="J221" s="5"/>
      <c r="K221" s="5"/>
      <c r="L221" s="5"/>
      <c r="M221" s="5"/>
      <c r="N221" s="2" t="str">
        <f>Table1[[#This Row],[Level1]]</f>
        <v>Hälsa &amp; Skönhet</v>
      </c>
      <c r="O221" s="2" t="str">
        <f>Table1[[#This Row],[Level1]]
&amp;IF(Table1[[#This Row],[Level2]]&lt;&gt;""," &gt; "&amp;Table1[[#This Row],[Level2]],"")</f>
        <v>Hälsa &amp; Skönhet &gt; Hygien &amp; hälsa</v>
      </c>
      <c r="P221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Febertermometrar</v>
      </c>
      <c r="Q221" s="6" t="s">
        <v>534</v>
      </c>
    </row>
    <row r="222" spans="1:17" x14ac:dyDescent="0.25">
      <c r="A222" s="1" t="s">
        <v>8</v>
      </c>
      <c r="B22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halsa-och-skonhet-hygien-och-halsa-munskydd-och-visir</v>
      </c>
      <c r="C222" s="3" t="s">
        <v>14</v>
      </c>
      <c r="D222" s="3" t="s">
        <v>48</v>
      </c>
      <c r="E222" s="3" t="s">
        <v>52</v>
      </c>
      <c r="F222" s="3"/>
      <c r="G222" s="4" t="b">
        <v>1</v>
      </c>
      <c r="H222" s="5"/>
      <c r="I222" s="4" t="b">
        <v>1</v>
      </c>
      <c r="J222" s="5"/>
      <c r="K222" s="5"/>
      <c r="L222" s="5"/>
      <c r="M222" s="5"/>
      <c r="N222" s="2" t="str">
        <f>Table1[[#This Row],[Level1]]</f>
        <v>Hälsa &amp; Skönhet</v>
      </c>
      <c r="O222" s="2" t="str">
        <f>Table1[[#This Row],[Level1]]
&amp;IF(Table1[[#This Row],[Level2]]&lt;&gt;""," &gt; "&amp;Table1[[#This Row],[Level2]],"")</f>
        <v>Hälsa &amp; Skönhet &gt; Hygien &amp; hälsa</v>
      </c>
      <c r="P222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Munskydd &amp; visir</v>
      </c>
      <c r="Q222" s="6" t="s">
        <v>535</v>
      </c>
    </row>
    <row r="223" spans="1:17" x14ac:dyDescent="0.25">
      <c r="A223" s="1" t="s">
        <v>8</v>
      </c>
      <c r="B22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halsa-och-skonhet-hygien-och-halsa-oron-och-ogonvard</v>
      </c>
      <c r="C223" s="3" t="s">
        <v>14</v>
      </c>
      <c r="D223" s="3" t="s">
        <v>48</v>
      </c>
      <c r="E223" s="3" t="s">
        <v>382</v>
      </c>
      <c r="F223" s="3"/>
      <c r="G223" s="4" t="b">
        <v>1</v>
      </c>
      <c r="H223" s="5"/>
      <c r="I223" s="4" t="b">
        <v>1</v>
      </c>
      <c r="J223" s="5"/>
      <c r="K223" s="5"/>
      <c r="L223" s="5"/>
      <c r="M223" s="5"/>
      <c r="N223" s="2" t="str">
        <f>Table1[[#This Row],[Level1]]</f>
        <v>Hälsa &amp; Skönhet</v>
      </c>
      <c r="O223" s="2" t="str">
        <f>Table1[[#This Row],[Level1]]
&amp;IF(Table1[[#This Row],[Level2]]&lt;&gt;""," &gt; "&amp;Table1[[#This Row],[Level2]],"")</f>
        <v>Hälsa &amp; Skönhet &gt; Hygien &amp; hälsa</v>
      </c>
      <c r="P223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Öron- &amp; ögonvård</v>
      </c>
      <c r="Q223" s="6" t="s">
        <v>536</v>
      </c>
    </row>
    <row r="224" spans="1:17" x14ac:dyDescent="0.25">
      <c r="A224" s="1" t="s">
        <v>8</v>
      </c>
      <c r="B22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halsa-och-skonhet-hygien-och-halsa-ovriga-halsoprodukter</v>
      </c>
      <c r="C224" s="3" t="s">
        <v>14</v>
      </c>
      <c r="D224" s="3" t="s">
        <v>48</v>
      </c>
      <c r="E224" s="3" t="s">
        <v>56</v>
      </c>
      <c r="F224" s="3"/>
      <c r="G224" s="4" t="b">
        <v>1</v>
      </c>
      <c r="H224" s="5"/>
      <c r="I224" s="4" t="b">
        <v>1</v>
      </c>
      <c r="J224" s="5"/>
      <c r="K224" s="5"/>
      <c r="L224" s="5"/>
      <c r="M224" s="5"/>
      <c r="N224" s="2" t="str">
        <f>Table1[[#This Row],[Level1]]</f>
        <v>Hälsa &amp; Skönhet</v>
      </c>
      <c r="O224" s="2" t="str">
        <f>Table1[[#This Row],[Level1]]
&amp;IF(Table1[[#This Row],[Level2]]&lt;&gt;""," &gt; "&amp;Table1[[#This Row],[Level2]],"")</f>
        <v>Hälsa &amp; Skönhet &gt; Hygien &amp; hälsa</v>
      </c>
      <c r="P224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Övriga hälsoprodukter</v>
      </c>
      <c r="Q224" s="6" t="s">
        <v>537</v>
      </c>
    </row>
    <row r="225" spans="1:17" x14ac:dyDescent="0.25">
      <c r="A225" s="1" t="s">
        <v>8</v>
      </c>
      <c r="B22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halsa-och-skonhet-hygien-och-halsa-personlig-hygien</v>
      </c>
      <c r="C225" s="3" t="s">
        <v>14</v>
      </c>
      <c r="D225" s="3" t="s">
        <v>48</v>
      </c>
      <c r="E225" s="3" t="s">
        <v>54</v>
      </c>
      <c r="F225" s="3"/>
      <c r="G225" s="4" t="b">
        <v>1</v>
      </c>
      <c r="H225" s="5"/>
      <c r="I225" s="4" t="b">
        <v>1</v>
      </c>
      <c r="J225" s="5"/>
      <c r="K225" s="5"/>
      <c r="L225" s="5"/>
      <c r="M225" s="5"/>
      <c r="N225" s="2" t="str">
        <f>Table1[[#This Row],[Level1]]</f>
        <v>Hälsa &amp; Skönhet</v>
      </c>
      <c r="O225" s="2" t="str">
        <f>Table1[[#This Row],[Level1]]
&amp;IF(Table1[[#This Row],[Level2]]&lt;&gt;""," &gt; "&amp;Table1[[#This Row],[Level2]],"")</f>
        <v>Hälsa &amp; Skönhet &gt; Hygien &amp; hälsa</v>
      </c>
      <c r="P225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Personlig hygien</v>
      </c>
      <c r="Q225" s="6" t="s">
        <v>538</v>
      </c>
    </row>
    <row r="226" spans="1:17" x14ac:dyDescent="0.25">
      <c r="A226" s="1" t="s">
        <v>8</v>
      </c>
      <c r="B22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halsa-och-skonhet-hygien-och-halsa-smartlindring</v>
      </c>
      <c r="C226" s="3" t="s">
        <v>14</v>
      </c>
      <c r="D226" s="3" t="s">
        <v>48</v>
      </c>
      <c r="E226" s="3" t="s">
        <v>55</v>
      </c>
      <c r="F226" s="3"/>
      <c r="G226" s="4" t="b">
        <v>1</v>
      </c>
      <c r="H226" s="5"/>
      <c r="I226" s="4" t="b">
        <v>1</v>
      </c>
      <c r="J226" s="5"/>
      <c r="K226" s="5"/>
      <c r="L226" s="5"/>
      <c r="M226" s="5"/>
      <c r="N226" s="2" t="str">
        <f>Table1[[#This Row],[Level1]]</f>
        <v>Hälsa &amp; Skönhet</v>
      </c>
      <c r="O226" s="2" t="str">
        <f>Table1[[#This Row],[Level1]]
&amp;IF(Table1[[#This Row],[Level2]]&lt;&gt;""," &gt; "&amp;Table1[[#This Row],[Level2]],"")</f>
        <v>Hälsa &amp; Skönhet &gt; Hygien &amp; hälsa</v>
      </c>
      <c r="P226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Smärtlindring</v>
      </c>
      <c r="Q226" s="6" t="s">
        <v>539</v>
      </c>
    </row>
    <row r="227" spans="1:17" x14ac:dyDescent="0.25">
      <c r="A227" s="1" t="s">
        <v>8</v>
      </c>
      <c r="B22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halsa-och-skonhet-hygien-och-halsa-somnhjalpmedel</v>
      </c>
      <c r="C227" s="3" t="s">
        <v>14</v>
      </c>
      <c r="D227" s="3" t="s">
        <v>48</v>
      </c>
      <c r="E227" s="3" t="s">
        <v>53</v>
      </c>
      <c r="F227" s="3"/>
      <c r="G227" s="4" t="b">
        <v>1</v>
      </c>
      <c r="H227" s="5"/>
      <c r="I227" s="4" t="b">
        <v>1</v>
      </c>
      <c r="J227" s="5"/>
      <c r="K227" s="5"/>
      <c r="L227" s="5"/>
      <c r="M227" s="5"/>
      <c r="N227" s="2" t="str">
        <f>Table1[[#This Row],[Level1]]</f>
        <v>Hälsa &amp; Skönhet</v>
      </c>
      <c r="O227" s="2" t="str">
        <f>Table1[[#This Row],[Level1]]
&amp;IF(Table1[[#This Row],[Level2]]&lt;&gt;""," &gt; "&amp;Table1[[#This Row],[Level2]],"")</f>
        <v>Hälsa &amp; Skönhet &gt; Hygien &amp; hälsa</v>
      </c>
      <c r="P227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Hygien &amp; hälsa &gt; Sömnhjälpmedel</v>
      </c>
      <c r="Q227" s="6" t="s">
        <v>540</v>
      </c>
    </row>
    <row r="228" spans="1:17" x14ac:dyDescent="0.25">
      <c r="A228" s="1" t="s">
        <v>8</v>
      </c>
      <c r="B22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heminredning-inredning-och-textil-gardiner-och-tillbehor</v>
      </c>
      <c r="C228" s="3" t="s">
        <v>145</v>
      </c>
      <c r="D228" s="3" t="s">
        <v>455</v>
      </c>
      <c r="E228" s="3" t="s">
        <v>408</v>
      </c>
      <c r="F228" s="3"/>
      <c r="G228" s="4" t="b">
        <v>1</v>
      </c>
      <c r="H228" s="5"/>
      <c r="I228" s="4" t="b">
        <v>1</v>
      </c>
      <c r="J228" s="5"/>
      <c r="K228" s="5"/>
      <c r="L228" s="5"/>
      <c r="M228" s="5"/>
      <c r="N228" s="2" t="str">
        <f>Table1[[#This Row],[Level1]]</f>
        <v>Heminredning</v>
      </c>
      <c r="O228" s="2" t="str">
        <f>Table1[[#This Row],[Level1]]
&amp;IF(Table1[[#This Row],[Level2]]&lt;&gt;""," &gt; "&amp;Table1[[#This Row],[Level2]],"")</f>
        <v>Heminredning &gt; Inredning &amp; textil</v>
      </c>
      <c r="P228" s="2" t="str">
        <f>Table1[[#This Row],[Level1]]
&amp;IF(Table1[[#This Row],[Level2]]&lt;&gt;""," &gt; "&amp;Table1[[#This Row],[Level2]],"")
&amp;IF(Table1[[#This Row],[Level3]]&lt;&gt;""," &gt; "&amp;Table1[[#This Row],[Level3]],"")</f>
        <v>Heminredning &gt; Inredning &amp; textil &gt; Gardiner &amp; tillbehör</v>
      </c>
      <c r="Q228" s="6" t="s">
        <v>704</v>
      </c>
    </row>
    <row r="229" spans="1:17" x14ac:dyDescent="0.25">
      <c r="A229" s="1" t="s">
        <v>8</v>
      </c>
      <c r="B22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heminredning-inredning-och-textil-kuddfodral</v>
      </c>
      <c r="C229" s="3" t="s">
        <v>145</v>
      </c>
      <c r="D229" s="3" t="s">
        <v>455</v>
      </c>
      <c r="E229" s="3" t="s">
        <v>117</v>
      </c>
      <c r="F229" s="3"/>
      <c r="G229" s="4" t="b">
        <v>1</v>
      </c>
      <c r="H229" s="5"/>
      <c r="I229" s="4" t="b">
        <v>1</v>
      </c>
      <c r="J229" s="5"/>
      <c r="K229" s="5"/>
      <c r="L229" s="5"/>
      <c r="M229" s="5"/>
      <c r="N229" s="2" t="str">
        <f>Table1[[#This Row],[Level1]]</f>
        <v>Heminredning</v>
      </c>
      <c r="O229" s="2" t="str">
        <f>Table1[[#This Row],[Level1]]
&amp;IF(Table1[[#This Row],[Level2]]&lt;&gt;""," &gt; "&amp;Table1[[#This Row],[Level2]],"")</f>
        <v>Heminredning &gt; Inredning &amp; textil</v>
      </c>
      <c r="P229" s="2" t="str">
        <f>Table1[[#This Row],[Level1]]
&amp;IF(Table1[[#This Row],[Level2]]&lt;&gt;""," &gt; "&amp;Table1[[#This Row],[Level2]],"")
&amp;IF(Table1[[#This Row],[Level3]]&lt;&gt;""," &gt; "&amp;Table1[[#This Row],[Level3]],"")</f>
        <v>Heminredning &gt; Inredning &amp; textil &gt; Kuddfodral</v>
      </c>
      <c r="Q229" s="6" t="s">
        <v>705</v>
      </c>
    </row>
    <row r="230" spans="1:17" x14ac:dyDescent="0.25">
      <c r="A230" s="1" t="s">
        <v>8</v>
      </c>
      <c r="B23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heminredning-inredning-och-textil-mattor-och-dukar</v>
      </c>
      <c r="C230" s="3" t="s">
        <v>145</v>
      </c>
      <c r="D230" s="3" t="s">
        <v>455</v>
      </c>
      <c r="E230" s="3" t="s">
        <v>406</v>
      </c>
      <c r="F230" s="3"/>
      <c r="G230" s="4" t="b">
        <v>1</v>
      </c>
      <c r="H230" s="5"/>
      <c r="I230" s="4" t="b">
        <v>1</v>
      </c>
      <c r="J230" s="5"/>
      <c r="K230" s="5"/>
      <c r="L230" s="5"/>
      <c r="M230" s="5"/>
      <c r="N230" s="2" t="str">
        <f>Table1[[#This Row],[Level1]]</f>
        <v>Heminredning</v>
      </c>
      <c r="O230" s="2" t="str">
        <f>Table1[[#This Row],[Level1]]
&amp;IF(Table1[[#This Row],[Level2]]&lt;&gt;""," &gt; "&amp;Table1[[#This Row],[Level2]],"")</f>
        <v>Heminredning &gt; Inredning &amp; textil</v>
      </c>
      <c r="P230" s="2" t="str">
        <f>Table1[[#This Row],[Level1]]
&amp;IF(Table1[[#This Row],[Level2]]&lt;&gt;""," &gt; "&amp;Table1[[#This Row],[Level2]],"")
&amp;IF(Table1[[#This Row],[Level3]]&lt;&gt;""," &gt; "&amp;Table1[[#This Row],[Level3]],"")</f>
        <v>Heminredning &gt; Inredning &amp; textil &gt; Mattor &amp; dukar</v>
      </c>
      <c r="Q230" s="6" t="s">
        <v>706</v>
      </c>
    </row>
    <row r="231" spans="1:17" x14ac:dyDescent="0.25">
      <c r="A231" s="1" t="s">
        <v>8</v>
      </c>
      <c r="B23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heminredning-inredning-och-textil-pladar-och-filtar</v>
      </c>
      <c r="C231" s="3" t="s">
        <v>145</v>
      </c>
      <c r="D231" s="3" t="s">
        <v>455</v>
      </c>
      <c r="E231" s="3" t="s">
        <v>407</v>
      </c>
      <c r="F231" s="3"/>
      <c r="G231" s="4" t="b">
        <v>1</v>
      </c>
      <c r="H231" s="5"/>
      <c r="I231" s="4" t="b">
        <v>1</v>
      </c>
      <c r="J231" s="5"/>
      <c r="K231" s="5"/>
      <c r="L231" s="5"/>
      <c r="M231" s="5"/>
      <c r="N231" s="2" t="str">
        <f>Table1[[#This Row],[Level1]]</f>
        <v>Heminredning</v>
      </c>
      <c r="O231" s="2" t="str">
        <f>Table1[[#This Row],[Level1]]
&amp;IF(Table1[[#This Row],[Level2]]&lt;&gt;""," &gt; "&amp;Table1[[#This Row],[Level2]],"")</f>
        <v>Heminredning &gt; Inredning &amp; textil</v>
      </c>
      <c r="P231" s="2" t="str">
        <f>Table1[[#This Row],[Level1]]
&amp;IF(Table1[[#This Row],[Level2]]&lt;&gt;""," &gt; "&amp;Table1[[#This Row],[Level2]],"")
&amp;IF(Table1[[#This Row],[Level3]]&lt;&gt;""," &gt; "&amp;Table1[[#This Row],[Level3]],"")</f>
        <v>Heminredning &gt; Inredning &amp; textil &gt; Plädar &amp; filtar</v>
      </c>
      <c r="Q231" s="6" t="s">
        <v>707</v>
      </c>
    </row>
    <row r="232" spans="1:17" x14ac:dyDescent="0.25">
      <c r="A232" s="1" t="s">
        <v>8</v>
      </c>
      <c r="B23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heminredning-inredning-och-textil-sangklader</v>
      </c>
      <c r="C232" s="3" t="s">
        <v>145</v>
      </c>
      <c r="D232" s="3" t="s">
        <v>455</v>
      </c>
      <c r="E232" s="3" t="s">
        <v>118</v>
      </c>
      <c r="F232" s="3"/>
      <c r="G232" s="4" t="b">
        <v>1</v>
      </c>
      <c r="H232" s="5"/>
      <c r="I232" s="4" t="b">
        <v>1</v>
      </c>
      <c r="J232" s="5"/>
      <c r="K232" s="5"/>
      <c r="L232" s="5"/>
      <c r="M232" s="5"/>
      <c r="N232" s="2" t="str">
        <f>Table1[[#This Row],[Level1]]</f>
        <v>Heminredning</v>
      </c>
      <c r="O232" s="2" t="str">
        <f>Table1[[#This Row],[Level1]]
&amp;IF(Table1[[#This Row],[Level2]]&lt;&gt;""," &gt; "&amp;Table1[[#This Row],[Level2]],"")</f>
        <v>Heminredning &gt; Inredning &amp; textil</v>
      </c>
      <c r="P232" s="2" t="str">
        <f>Table1[[#This Row],[Level1]]
&amp;IF(Table1[[#This Row],[Level2]]&lt;&gt;""," &gt; "&amp;Table1[[#This Row],[Level2]],"")
&amp;IF(Table1[[#This Row],[Level3]]&lt;&gt;""," &gt; "&amp;Table1[[#This Row],[Level3]],"")</f>
        <v>Heminredning &gt; Inredning &amp; textil &gt; Sängkläder</v>
      </c>
      <c r="Q232" s="6" t="s">
        <v>708</v>
      </c>
    </row>
    <row r="233" spans="1:17" x14ac:dyDescent="0.25">
      <c r="A233" s="1" t="s">
        <v>8</v>
      </c>
      <c r="B23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hemelektronik-kablar-adaptrar-och-anslutning-adaptrar-och-switchar</v>
      </c>
      <c r="C233" s="3" t="s">
        <v>331</v>
      </c>
      <c r="D233" s="3" t="s">
        <v>479</v>
      </c>
      <c r="E233" s="3" t="s">
        <v>347</v>
      </c>
      <c r="F233" s="3"/>
      <c r="G233" s="4" t="b">
        <v>1</v>
      </c>
      <c r="H233" s="5"/>
      <c r="I233" s="4" t="b">
        <v>1</v>
      </c>
      <c r="J233" s="5"/>
      <c r="K233" s="5"/>
      <c r="L233" s="5"/>
      <c r="M233" s="5"/>
      <c r="N233" s="2" t="str">
        <f>Table1[[#This Row],[Level1]]</f>
        <v>Hemelektronik</v>
      </c>
      <c r="O233" s="2" t="str">
        <f>Table1[[#This Row],[Level1]]
&amp;IF(Table1[[#This Row],[Level2]]&lt;&gt;""," &gt; "&amp;Table1[[#This Row],[Level2]],"")</f>
        <v>Hemelektronik &gt; Kablar, adaptrar &amp; anslutning</v>
      </c>
      <c r="P233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 &gt; Adaptrar &amp; switchar</v>
      </c>
      <c r="Q233" s="6" t="s">
        <v>637</v>
      </c>
    </row>
    <row r="234" spans="1:17" x14ac:dyDescent="0.25">
      <c r="A234" s="1" t="s">
        <v>8</v>
      </c>
      <c r="B23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hemelektronik-kablar-adaptrar-och-anslutning-bildskarmskablar</v>
      </c>
      <c r="C234" s="3" t="s">
        <v>331</v>
      </c>
      <c r="D234" s="3" t="s">
        <v>479</v>
      </c>
      <c r="E234" s="3" t="s">
        <v>345</v>
      </c>
      <c r="F234" s="3"/>
      <c r="G234" s="4" t="b">
        <v>1</v>
      </c>
      <c r="H234" s="5"/>
      <c r="I234" s="4" t="b">
        <v>1</v>
      </c>
      <c r="J234" s="5"/>
      <c r="K234" s="5"/>
      <c r="L234" s="5"/>
      <c r="M234" s="5"/>
      <c r="N234" s="2" t="str">
        <f>Table1[[#This Row],[Level1]]</f>
        <v>Hemelektronik</v>
      </c>
      <c r="O234" s="2" t="str">
        <f>Table1[[#This Row],[Level1]]
&amp;IF(Table1[[#This Row],[Level2]]&lt;&gt;""," &gt; "&amp;Table1[[#This Row],[Level2]],"")</f>
        <v>Hemelektronik &gt; Kablar, adaptrar &amp; anslutning</v>
      </c>
      <c r="P234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 &gt; Bildskärmskablar</v>
      </c>
      <c r="Q234" s="6" t="s">
        <v>638</v>
      </c>
    </row>
    <row r="235" spans="1:17" x14ac:dyDescent="0.25">
      <c r="A235" s="1" t="s">
        <v>8</v>
      </c>
      <c r="B23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hemelektronik-kablar-adaptrar-och-anslutning-ljudkablar</v>
      </c>
      <c r="C235" s="3" t="s">
        <v>331</v>
      </c>
      <c r="D235" s="3" t="s">
        <v>479</v>
      </c>
      <c r="E235" s="3" t="s">
        <v>344</v>
      </c>
      <c r="F235" s="3"/>
      <c r="G235" s="4" t="b">
        <v>1</v>
      </c>
      <c r="H235" s="5"/>
      <c r="I235" s="4" t="b">
        <v>1</v>
      </c>
      <c r="J235" s="5"/>
      <c r="K235" s="5"/>
      <c r="L235" s="5"/>
      <c r="M235" s="5"/>
      <c r="N235" s="2" t="str">
        <f>Table1[[#This Row],[Level1]]</f>
        <v>Hemelektronik</v>
      </c>
      <c r="O235" s="2" t="str">
        <f>Table1[[#This Row],[Level1]]
&amp;IF(Table1[[#This Row],[Level2]]&lt;&gt;""," &gt; "&amp;Table1[[#This Row],[Level2]],"")</f>
        <v>Hemelektronik &gt; Kablar, adaptrar &amp; anslutning</v>
      </c>
      <c r="P235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 &gt; Ljudkablar</v>
      </c>
      <c r="Q235" s="6" t="s">
        <v>639</v>
      </c>
    </row>
    <row r="236" spans="1:17" x14ac:dyDescent="0.25">
      <c r="A236" s="1" t="s">
        <v>8</v>
      </c>
      <c r="B23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hemelektronik-kablar-adaptrar-och-anslutning-natverkskablar</v>
      </c>
      <c r="C236" s="3" t="s">
        <v>331</v>
      </c>
      <c r="D236" s="3" t="s">
        <v>479</v>
      </c>
      <c r="E236" s="3" t="s">
        <v>346</v>
      </c>
      <c r="F236" s="3"/>
      <c r="G236" s="4" t="b">
        <v>1</v>
      </c>
      <c r="H236" s="5"/>
      <c r="I236" s="4" t="b">
        <v>1</v>
      </c>
      <c r="J236" s="5"/>
      <c r="K236" s="5"/>
      <c r="L236" s="5"/>
      <c r="M236" s="5"/>
      <c r="N236" s="2" t="str">
        <f>Table1[[#This Row],[Level1]]</f>
        <v>Hemelektronik</v>
      </c>
      <c r="O236" s="2" t="str">
        <f>Table1[[#This Row],[Level1]]
&amp;IF(Table1[[#This Row],[Level2]]&lt;&gt;""," &gt; "&amp;Table1[[#This Row],[Level2]],"")</f>
        <v>Hemelektronik &gt; Kablar, adaptrar &amp; anslutning</v>
      </c>
      <c r="P236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 &gt; Nätverkskablar</v>
      </c>
      <c r="Q236" s="6" t="s">
        <v>640</v>
      </c>
    </row>
    <row r="237" spans="1:17" x14ac:dyDescent="0.25">
      <c r="A237" s="1" t="s">
        <v>8</v>
      </c>
      <c r="B23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hemelektronik-kablar-adaptrar-och-anslutning-ovriga-kablar-och-tillbehor</v>
      </c>
      <c r="C237" s="3" t="s">
        <v>331</v>
      </c>
      <c r="D237" s="3" t="s">
        <v>479</v>
      </c>
      <c r="E237" s="3" t="s">
        <v>349</v>
      </c>
      <c r="F237" s="3"/>
      <c r="G237" s="4" t="b">
        <v>1</v>
      </c>
      <c r="H237" s="5"/>
      <c r="I237" s="4" t="b">
        <v>1</v>
      </c>
      <c r="J237" s="5"/>
      <c r="K237" s="5"/>
      <c r="L237" s="5"/>
      <c r="M237" s="5"/>
      <c r="N237" s="2" t="str">
        <f>Table1[[#This Row],[Level1]]</f>
        <v>Hemelektronik</v>
      </c>
      <c r="O237" s="2" t="str">
        <f>Table1[[#This Row],[Level1]]
&amp;IF(Table1[[#This Row],[Level2]]&lt;&gt;""," &gt; "&amp;Table1[[#This Row],[Level2]],"")</f>
        <v>Hemelektronik &gt; Kablar, adaptrar &amp; anslutning</v>
      </c>
      <c r="P237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 &gt; Övriga kablar &amp; tillbehör</v>
      </c>
      <c r="Q237" s="6" t="s">
        <v>641</v>
      </c>
    </row>
    <row r="238" spans="1:17" x14ac:dyDescent="0.25">
      <c r="A238" s="1" t="s">
        <v>8</v>
      </c>
      <c r="B23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hemelektronik-kablar-adaptrar-och-anslutning-signalomvandlare</v>
      </c>
      <c r="C238" s="3" t="s">
        <v>331</v>
      </c>
      <c r="D238" s="3" t="s">
        <v>479</v>
      </c>
      <c r="E238" s="3" t="s">
        <v>348</v>
      </c>
      <c r="F238" s="3"/>
      <c r="G238" s="4" t="b">
        <v>1</v>
      </c>
      <c r="H238" s="5"/>
      <c r="I238" s="4" t="b">
        <v>1</v>
      </c>
      <c r="J238" s="5"/>
      <c r="K238" s="5"/>
      <c r="L238" s="5"/>
      <c r="M238" s="5"/>
      <c r="N238" s="2" t="str">
        <f>Table1[[#This Row],[Level1]]</f>
        <v>Hemelektronik</v>
      </c>
      <c r="O238" s="2" t="str">
        <f>Table1[[#This Row],[Level1]]
&amp;IF(Table1[[#This Row],[Level2]]&lt;&gt;""," &gt; "&amp;Table1[[#This Row],[Level2]],"")</f>
        <v>Hemelektronik &gt; Kablar, adaptrar &amp; anslutning</v>
      </c>
      <c r="P238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 &gt; Signalomvandlare</v>
      </c>
      <c r="Q238" s="6" t="s">
        <v>642</v>
      </c>
    </row>
    <row r="239" spans="1:17" x14ac:dyDescent="0.25">
      <c r="A239" s="1" t="s">
        <v>8</v>
      </c>
      <c r="B23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hemelektronik-kablar-adaptrar-och-anslutning-usb-kablar</v>
      </c>
      <c r="C239" s="3" t="s">
        <v>331</v>
      </c>
      <c r="D239" s="3" t="s">
        <v>479</v>
      </c>
      <c r="E239" s="3" t="s">
        <v>447</v>
      </c>
      <c r="F239" s="3"/>
      <c r="G239" s="4" t="b">
        <v>1</v>
      </c>
      <c r="H239" s="5"/>
      <c r="I239" s="4" t="b">
        <v>1</v>
      </c>
      <c r="J239" s="5"/>
      <c r="K239" s="5"/>
      <c r="L239" s="5"/>
      <c r="M239" s="5"/>
      <c r="N239" s="2" t="str">
        <f>Table1[[#This Row],[Level1]]</f>
        <v>Hemelektronik</v>
      </c>
      <c r="O239" s="2" t="str">
        <f>Table1[[#This Row],[Level1]]
&amp;IF(Table1[[#This Row],[Level2]]&lt;&gt;""," &gt; "&amp;Table1[[#This Row],[Level2]],"")</f>
        <v>Hemelektronik &gt; Kablar, adaptrar &amp; anslutning</v>
      </c>
      <c r="P239" s="2" t="str">
        <f>Table1[[#This Row],[Level1]]
&amp;IF(Table1[[#This Row],[Level2]]&lt;&gt;""," &gt; "&amp;Table1[[#This Row],[Level2]],"")
&amp;IF(Table1[[#This Row],[Level3]]&lt;&gt;""," &gt; "&amp;Table1[[#This Row],[Level3]],"")</f>
        <v>Hemelektronik &gt; Kablar, adaptrar &amp; anslutning &gt; Usb-kablar</v>
      </c>
      <c r="Q239" s="6" t="s">
        <v>643</v>
      </c>
    </row>
    <row r="240" spans="1:17" x14ac:dyDescent="0.25">
      <c r="A240" s="1" t="s">
        <v>8</v>
      </c>
      <c r="B24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mode-och-accessoarer-klader-och-accessoarer-byxor</v>
      </c>
      <c r="C240" s="3" t="s">
        <v>288</v>
      </c>
      <c r="D240" s="3" t="s">
        <v>475</v>
      </c>
      <c r="E240" s="3" t="s">
        <v>317</v>
      </c>
      <c r="F240" s="3"/>
      <c r="G240" s="4" t="b">
        <v>1</v>
      </c>
      <c r="H240" s="5"/>
      <c r="I240" s="4" t="b">
        <v>1</v>
      </c>
      <c r="J240" s="5"/>
      <c r="K240" s="5"/>
      <c r="L240" s="5"/>
      <c r="M240" s="5"/>
      <c r="N240" s="2" t="str">
        <f>Table1[[#This Row],[Level1]]</f>
        <v>Mode &amp; Accessoarer</v>
      </c>
      <c r="O240" s="2" t="str">
        <f>Table1[[#This Row],[Level1]]
&amp;IF(Table1[[#This Row],[Level2]]&lt;&gt;""," &gt; "&amp;Table1[[#This Row],[Level2]],"")</f>
        <v>Mode &amp; Accessoarer &gt; Kläder &amp; accessoarer</v>
      </c>
      <c r="P240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Kläder &amp; accessoarer &gt; Byxor</v>
      </c>
      <c r="Q240" s="6" t="s">
        <v>800</v>
      </c>
    </row>
    <row r="241" spans="1:17" x14ac:dyDescent="0.25">
      <c r="A241" s="1" t="s">
        <v>8</v>
      </c>
      <c r="B24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mode-och-accessoarer-klader-och-accessoarer-mysklader</v>
      </c>
      <c r="C241" s="3" t="s">
        <v>288</v>
      </c>
      <c r="D241" s="3" t="s">
        <v>475</v>
      </c>
      <c r="E241" s="3" t="s">
        <v>318</v>
      </c>
      <c r="F241" s="3"/>
      <c r="G241" s="4" t="b">
        <v>1</v>
      </c>
      <c r="H241" s="5"/>
      <c r="I241" s="4" t="b">
        <v>1</v>
      </c>
      <c r="J241" s="5"/>
      <c r="K241" s="5"/>
      <c r="L241" s="5"/>
      <c r="M241" s="5"/>
      <c r="N241" s="2" t="str">
        <f>Table1[[#This Row],[Level1]]</f>
        <v>Mode &amp; Accessoarer</v>
      </c>
      <c r="O241" s="2" t="str">
        <f>Table1[[#This Row],[Level1]]
&amp;IF(Table1[[#This Row],[Level2]]&lt;&gt;""," &gt; "&amp;Table1[[#This Row],[Level2]],"")</f>
        <v>Mode &amp; Accessoarer &gt; Kläder &amp; accessoarer</v>
      </c>
      <c r="P241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Kläder &amp; accessoarer &gt; Myskläder</v>
      </c>
      <c r="Q241" s="6" t="s">
        <v>801</v>
      </c>
    </row>
    <row r="242" spans="1:17" x14ac:dyDescent="0.25">
      <c r="A242" s="1" t="s">
        <v>8</v>
      </c>
      <c r="B24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mode-och-accessoarer-klader-och-accessoarer-ovriga-klader</v>
      </c>
      <c r="C242" s="3" t="s">
        <v>288</v>
      </c>
      <c r="D242" s="3" t="s">
        <v>475</v>
      </c>
      <c r="E242" s="3" t="s">
        <v>322</v>
      </c>
      <c r="F242" s="3"/>
      <c r="G242" s="4" t="b">
        <v>1</v>
      </c>
      <c r="H242" s="5"/>
      <c r="I242" s="4" t="b">
        <v>1</v>
      </c>
      <c r="J242" s="5"/>
      <c r="K242" s="5"/>
      <c r="L242" s="5"/>
      <c r="M242" s="5"/>
      <c r="N242" s="2" t="str">
        <f>Table1[[#This Row],[Level1]]</f>
        <v>Mode &amp; Accessoarer</v>
      </c>
      <c r="O242" s="2" t="str">
        <f>Table1[[#This Row],[Level1]]
&amp;IF(Table1[[#This Row],[Level2]]&lt;&gt;""," &gt; "&amp;Table1[[#This Row],[Level2]],"")</f>
        <v>Mode &amp; Accessoarer &gt; Kläder &amp; accessoarer</v>
      </c>
      <c r="P24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Kläder &amp; accessoarer &gt; Övriga kläder</v>
      </c>
      <c r="Q242" s="6" t="s">
        <v>802</v>
      </c>
    </row>
    <row r="243" spans="1:17" x14ac:dyDescent="0.25">
      <c r="A243" s="1" t="s">
        <v>8</v>
      </c>
      <c r="B24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mode-och-accessoarer-klader-och-accessoarer-tatuering-sleeves</v>
      </c>
      <c r="C243" s="3" t="s">
        <v>288</v>
      </c>
      <c r="D243" s="3" t="s">
        <v>475</v>
      </c>
      <c r="E243" s="3" t="s">
        <v>321</v>
      </c>
      <c r="F243" s="3"/>
      <c r="G243" s="4" t="b">
        <v>1</v>
      </c>
      <c r="H243" s="5"/>
      <c r="I243" s="4" t="b">
        <v>1</v>
      </c>
      <c r="J243" s="5"/>
      <c r="K243" s="5"/>
      <c r="L243" s="5"/>
      <c r="M243" s="5"/>
      <c r="N243" s="2" t="str">
        <f>Table1[[#This Row],[Level1]]</f>
        <v>Mode &amp; Accessoarer</v>
      </c>
      <c r="O243" s="2" t="str">
        <f>Table1[[#This Row],[Level1]]
&amp;IF(Table1[[#This Row],[Level2]]&lt;&gt;""," &gt; "&amp;Table1[[#This Row],[Level2]],"")</f>
        <v>Mode &amp; Accessoarer &gt; Kläder &amp; accessoarer</v>
      </c>
      <c r="P243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Kläder &amp; accessoarer &gt; Tatuering sleeves</v>
      </c>
      <c r="Q243" s="6" t="s">
        <v>803</v>
      </c>
    </row>
    <row r="244" spans="1:17" x14ac:dyDescent="0.25">
      <c r="A244" s="1" t="s">
        <v>8</v>
      </c>
      <c r="B24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mode-och-accessoarer-klader-och-accessoarer-t-shirts-och-overdelar</v>
      </c>
      <c r="C244" s="3" t="s">
        <v>288</v>
      </c>
      <c r="D244" s="3" t="s">
        <v>475</v>
      </c>
      <c r="E244" s="3" t="s">
        <v>319</v>
      </c>
      <c r="F244" s="3"/>
      <c r="G244" s="4" t="b">
        <v>1</v>
      </c>
      <c r="H244" s="5"/>
      <c r="I244" s="4" t="b">
        <v>1</v>
      </c>
      <c r="J244" s="5"/>
      <c r="K244" s="5"/>
      <c r="L244" s="5"/>
      <c r="M244" s="5"/>
      <c r="N244" s="2" t="str">
        <f>Table1[[#This Row],[Level1]]</f>
        <v>Mode &amp; Accessoarer</v>
      </c>
      <c r="O244" s="2" t="str">
        <f>Table1[[#This Row],[Level1]]
&amp;IF(Table1[[#This Row],[Level2]]&lt;&gt;""," &gt; "&amp;Table1[[#This Row],[Level2]],"")</f>
        <v>Mode &amp; Accessoarer &gt; Kläder &amp; accessoarer</v>
      </c>
      <c r="P24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Kläder &amp; accessoarer &gt; T-shirts &amp; överdelar</v>
      </c>
      <c r="Q244" s="6" t="s">
        <v>804</v>
      </c>
    </row>
    <row r="245" spans="1:17" x14ac:dyDescent="0.25">
      <c r="A245" s="1" t="s">
        <v>8</v>
      </c>
      <c r="B24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mode-och-accessoarer-klader-och-accessoarer-tubscarfs-och-halsdukar</v>
      </c>
      <c r="C245" s="3" t="s">
        <v>288</v>
      </c>
      <c r="D245" s="3" t="s">
        <v>475</v>
      </c>
      <c r="E245" s="3" t="s">
        <v>320</v>
      </c>
      <c r="F245" s="3"/>
      <c r="G245" s="4" t="b">
        <v>1</v>
      </c>
      <c r="H245" s="5"/>
      <c r="I245" s="4" t="b">
        <v>1</v>
      </c>
      <c r="J245" s="5"/>
      <c r="K245" s="5"/>
      <c r="L245" s="5"/>
      <c r="M245" s="5"/>
      <c r="N245" s="2" t="str">
        <f>Table1[[#This Row],[Level1]]</f>
        <v>Mode &amp; Accessoarer</v>
      </c>
      <c r="O245" s="2" t="str">
        <f>Table1[[#This Row],[Level1]]
&amp;IF(Table1[[#This Row],[Level2]]&lt;&gt;""," &gt; "&amp;Table1[[#This Row],[Level2]],"")</f>
        <v>Mode &amp; Accessoarer &gt; Kläder &amp; accessoarer</v>
      </c>
      <c r="P24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Kläder &amp; accessoarer &gt; Tubscarfs &amp; halsdukar</v>
      </c>
      <c r="Q245" s="6" t="s">
        <v>805</v>
      </c>
    </row>
    <row r="246" spans="1:17" x14ac:dyDescent="0.25">
      <c r="A246" s="1" t="s">
        <v>8</v>
      </c>
      <c r="B24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hushall-och-kok-klimat-och-inomhusmiljo-kylflaktar</v>
      </c>
      <c r="C246" s="3" t="s">
        <v>484</v>
      </c>
      <c r="D246" s="3" t="s">
        <v>463</v>
      </c>
      <c r="E246" s="3" t="s">
        <v>36</v>
      </c>
      <c r="F246" s="3"/>
      <c r="G246" s="4" t="b">
        <v>1</v>
      </c>
      <c r="H246" s="5"/>
      <c r="I246" s="4" t="b">
        <v>1</v>
      </c>
      <c r="J246" s="5"/>
      <c r="K246" s="5"/>
      <c r="L246" s="5"/>
      <c r="M246" s="5"/>
      <c r="N246" s="2" t="str">
        <f>Table1[[#This Row],[Level1]]</f>
        <v>Hushåll &amp; Kök</v>
      </c>
      <c r="O246" s="2" t="str">
        <f>Table1[[#This Row],[Level1]]
&amp;IF(Table1[[#This Row],[Level2]]&lt;&gt;""," &gt; "&amp;Table1[[#This Row],[Level2]],"")</f>
        <v>Hushåll &amp; Kök &gt; Klimat &amp; inomhusmiljö</v>
      </c>
      <c r="P246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Klimat &amp; inomhusmiljö &gt; Kylfläktar</v>
      </c>
      <c r="Q246" s="6" t="s">
        <v>756</v>
      </c>
    </row>
    <row r="247" spans="1:17" x14ac:dyDescent="0.25">
      <c r="A247" s="1" t="s">
        <v>8</v>
      </c>
      <c r="B24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hushall-och-kok-klimat-och-inomhusmiljo-luftavfuktare</v>
      </c>
      <c r="C247" s="3" t="s">
        <v>484</v>
      </c>
      <c r="D247" s="3" t="s">
        <v>463</v>
      </c>
      <c r="E247" s="3" t="s">
        <v>38</v>
      </c>
      <c r="F247" s="3"/>
      <c r="G247" s="4" t="b">
        <v>1</v>
      </c>
      <c r="H247" s="5"/>
      <c r="I247" s="4" t="b">
        <v>1</v>
      </c>
      <c r="J247" s="5"/>
      <c r="K247" s="5"/>
      <c r="L247" s="5"/>
      <c r="M247" s="5"/>
      <c r="N247" s="2" t="str">
        <f>Table1[[#This Row],[Level1]]</f>
        <v>Hushåll &amp; Kök</v>
      </c>
      <c r="O247" s="2" t="str">
        <f>Table1[[#This Row],[Level1]]
&amp;IF(Table1[[#This Row],[Level2]]&lt;&gt;""," &gt; "&amp;Table1[[#This Row],[Level2]],"")</f>
        <v>Hushåll &amp; Kök &gt; Klimat &amp; inomhusmiljö</v>
      </c>
      <c r="P247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Klimat &amp; inomhusmiljö &gt; Luftavfuktare</v>
      </c>
      <c r="Q247" s="6" t="s">
        <v>757</v>
      </c>
    </row>
    <row r="248" spans="1:17" x14ac:dyDescent="0.25">
      <c r="A248" s="1" t="s">
        <v>8</v>
      </c>
      <c r="B24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hushall-och-kok-klimat-och-inomhusmiljo-luftfuktare-och-doftspridare</v>
      </c>
      <c r="C248" s="3" t="s">
        <v>484</v>
      </c>
      <c r="D248" s="3" t="s">
        <v>463</v>
      </c>
      <c r="E248" s="3" t="s">
        <v>197</v>
      </c>
      <c r="F248" s="3"/>
      <c r="G248" s="4" t="b">
        <v>1</v>
      </c>
      <c r="H248" s="5"/>
      <c r="I248" s="4" t="b">
        <v>1</v>
      </c>
      <c r="J248" s="5"/>
      <c r="K248" s="5"/>
      <c r="L248" s="5"/>
      <c r="M248" s="5"/>
      <c r="N248" s="2" t="str">
        <f>Table1[[#This Row],[Level1]]</f>
        <v>Hushåll &amp; Kök</v>
      </c>
      <c r="O248" s="2" t="str">
        <f>Table1[[#This Row],[Level1]]
&amp;IF(Table1[[#This Row],[Level2]]&lt;&gt;""," &gt; "&amp;Table1[[#This Row],[Level2]],"")</f>
        <v>Hushåll &amp; Kök &gt; Klimat &amp; inomhusmiljö</v>
      </c>
      <c r="P248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Klimat &amp; inomhusmiljö &gt; Luftfuktare &amp; doftspridare</v>
      </c>
      <c r="Q248" s="6" t="s">
        <v>758</v>
      </c>
    </row>
    <row r="249" spans="1:17" x14ac:dyDescent="0.25">
      <c r="A249" s="1" t="s">
        <v>8</v>
      </c>
      <c r="B24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hushall-och-kok-klimat-och-inomhusmiljo-luftrenare-och-ozongeneratorer</v>
      </c>
      <c r="C249" s="3" t="s">
        <v>484</v>
      </c>
      <c r="D249" s="3" t="s">
        <v>463</v>
      </c>
      <c r="E249" s="3" t="s">
        <v>198</v>
      </c>
      <c r="F249" s="3"/>
      <c r="G249" s="4" t="b">
        <v>1</v>
      </c>
      <c r="H249" s="5"/>
      <c r="I249" s="4" t="b">
        <v>1</v>
      </c>
      <c r="J249" s="5"/>
      <c r="K249" s="5"/>
      <c r="L249" s="5"/>
      <c r="M249" s="5"/>
      <c r="N249" s="2" t="str">
        <f>Table1[[#This Row],[Level1]]</f>
        <v>Hushåll &amp; Kök</v>
      </c>
      <c r="O249" s="2" t="str">
        <f>Table1[[#This Row],[Level1]]
&amp;IF(Table1[[#This Row],[Level2]]&lt;&gt;""," &gt; "&amp;Table1[[#This Row],[Level2]],"")</f>
        <v>Hushåll &amp; Kök &gt; Klimat &amp; inomhusmiljö</v>
      </c>
      <c r="P249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Klimat &amp; inomhusmiljö &gt; Luftrenare &amp; ozongeneratorer</v>
      </c>
      <c r="Q249" s="6" t="s">
        <v>759</v>
      </c>
    </row>
    <row r="250" spans="1:17" x14ac:dyDescent="0.25">
      <c r="A250" s="1" t="s">
        <v>8</v>
      </c>
      <c r="B25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hushall-och-kok-klimat-och-inomhusmiljo-termometrar-och-vaderstationer</v>
      </c>
      <c r="C250" s="3" t="s">
        <v>484</v>
      </c>
      <c r="D250" s="3" t="s">
        <v>463</v>
      </c>
      <c r="E250" s="3" t="s">
        <v>196</v>
      </c>
      <c r="F250" s="3"/>
      <c r="G250" s="4" t="b">
        <v>1</v>
      </c>
      <c r="H250" s="5"/>
      <c r="I250" s="4" t="b">
        <v>1</v>
      </c>
      <c r="J250" s="5"/>
      <c r="K250" s="5"/>
      <c r="L250" s="5"/>
      <c r="M250" s="5"/>
      <c r="N250" s="2" t="str">
        <f>Table1[[#This Row],[Level1]]</f>
        <v>Hushåll &amp; Kök</v>
      </c>
      <c r="O250" s="2" t="str">
        <f>Table1[[#This Row],[Level1]]
&amp;IF(Table1[[#This Row],[Level2]]&lt;&gt;""," &gt; "&amp;Table1[[#This Row],[Level2]],"")</f>
        <v>Hushåll &amp; Kök &gt; Klimat &amp; inomhusmiljö</v>
      </c>
      <c r="P250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Klimat &amp; inomhusmiljö &gt; Termometrar &amp; väderstationer</v>
      </c>
      <c r="Q250" s="6" t="s">
        <v>760</v>
      </c>
    </row>
    <row r="251" spans="1:17" x14ac:dyDescent="0.25">
      <c r="A251" s="1" t="s">
        <v>8</v>
      </c>
      <c r="B25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hushall-och-kok-klimat-och-inomhusmiljo-varmeflaktar</v>
      </c>
      <c r="C251" s="3" t="s">
        <v>484</v>
      </c>
      <c r="D251" s="3" t="s">
        <v>463</v>
      </c>
      <c r="E251" s="3" t="s">
        <v>37</v>
      </c>
      <c r="F251" s="3"/>
      <c r="G251" s="4" t="b">
        <v>1</v>
      </c>
      <c r="H251" s="5"/>
      <c r="I251" s="4" t="b">
        <v>1</v>
      </c>
      <c r="J251" s="5"/>
      <c r="K251" s="5"/>
      <c r="L251" s="5"/>
      <c r="M251" s="5"/>
      <c r="N251" s="2" t="str">
        <f>Table1[[#This Row],[Level1]]</f>
        <v>Hushåll &amp; Kök</v>
      </c>
      <c r="O251" s="2" t="str">
        <f>Table1[[#This Row],[Level1]]
&amp;IF(Table1[[#This Row],[Level2]]&lt;&gt;""," &gt; "&amp;Table1[[#This Row],[Level2]],"")</f>
        <v>Hushåll &amp; Kök &gt; Klimat &amp; inomhusmiljö</v>
      </c>
      <c r="P251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Klimat &amp; inomhusmiljö &gt; Värmefläktar</v>
      </c>
      <c r="Q251" s="6" t="s">
        <v>761</v>
      </c>
    </row>
    <row r="252" spans="1:17" x14ac:dyDescent="0.25">
      <c r="A252" s="1" t="s">
        <v>8</v>
      </c>
      <c r="B25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mode-och-accessoarer-klockor-och-smartklockor-damklockor</v>
      </c>
      <c r="C252" s="3" t="s">
        <v>288</v>
      </c>
      <c r="D252" s="3" t="s">
        <v>476</v>
      </c>
      <c r="E252" s="3" t="s">
        <v>324</v>
      </c>
      <c r="F252" s="3"/>
      <c r="G252" s="4" t="b">
        <v>1</v>
      </c>
      <c r="H252" s="5"/>
      <c r="I252" s="4" t="b">
        <v>1</v>
      </c>
      <c r="J252" s="5"/>
      <c r="K252" s="5"/>
      <c r="L252" s="5"/>
      <c r="M252" s="5"/>
      <c r="N252" s="2" t="str">
        <f>Table1[[#This Row],[Level1]]</f>
        <v>Mode &amp; Accessoarer</v>
      </c>
      <c r="O252" s="2" t="str">
        <f>Table1[[#This Row],[Level1]]
&amp;IF(Table1[[#This Row],[Level2]]&lt;&gt;""," &gt; "&amp;Table1[[#This Row],[Level2]],"")</f>
        <v>Mode &amp; Accessoarer &gt; Klockor &amp; smartklockor</v>
      </c>
      <c r="P25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Damklockor</v>
      </c>
      <c r="Q252" s="6" t="s">
        <v>806</v>
      </c>
    </row>
    <row r="253" spans="1:17" x14ac:dyDescent="0.25">
      <c r="A253" s="1" t="s">
        <v>8</v>
      </c>
      <c r="B25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mode-och-accessoarer-klockor-och-smartklockor-herrklockor</v>
      </c>
      <c r="C253" s="3" t="s">
        <v>288</v>
      </c>
      <c r="D253" s="3" t="s">
        <v>476</v>
      </c>
      <c r="E253" s="3" t="s">
        <v>323</v>
      </c>
      <c r="F253" s="3"/>
      <c r="G253" s="4" t="b">
        <v>1</v>
      </c>
      <c r="H253" s="5"/>
      <c r="I253" s="4" t="b">
        <v>1</v>
      </c>
      <c r="J253" s="5"/>
      <c r="K253" s="5"/>
      <c r="L253" s="5"/>
      <c r="M253" s="5"/>
      <c r="N253" s="2" t="str">
        <f>Table1[[#This Row],[Level1]]</f>
        <v>Mode &amp; Accessoarer</v>
      </c>
      <c r="O253" s="2" t="str">
        <f>Table1[[#This Row],[Level1]]
&amp;IF(Table1[[#This Row],[Level2]]&lt;&gt;""," &gt; "&amp;Table1[[#This Row],[Level2]],"")</f>
        <v>Mode &amp; Accessoarer &gt; Klockor &amp; smartklockor</v>
      </c>
      <c r="P253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Herrklockor</v>
      </c>
      <c r="Q253" s="6" t="s">
        <v>807</v>
      </c>
    </row>
    <row r="254" spans="1:17" x14ac:dyDescent="0.25">
      <c r="A254" s="1" t="s">
        <v>8</v>
      </c>
      <c r="B25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mode-och-accessoarer-klockor-och-smartklockor-klockarmband</v>
      </c>
      <c r="C254" s="3" t="s">
        <v>288</v>
      </c>
      <c r="D254" s="3" t="s">
        <v>476</v>
      </c>
      <c r="E254" s="3" t="s">
        <v>327</v>
      </c>
      <c r="F254" s="3"/>
      <c r="G254" s="4" t="b">
        <v>1</v>
      </c>
      <c r="H254" s="5"/>
      <c r="I254" s="4" t="b">
        <v>1</v>
      </c>
      <c r="J254" s="5"/>
      <c r="K254" s="5"/>
      <c r="L254" s="5"/>
      <c r="M254" s="5"/>
      <c r="N254" s="2" t="str">
        <f>Table1[[#This Row],[Level1]]</f>
        <v>Mode &amp; Accessoarer</v>
      </c>
      <c r="O254" s="2" t="str">
        <f>Table1[[#This Row],[Level1]]
&amp;IF(Table1[[#This Row],[Level2]]&lt;&gt;""," &gt; "&amp;Table1[[#This Row],[Level2]],"")</f>
        <v>Mode &amp; Accessoarer &gt; Klockor &amp; smartklockor</v>
      </c>
      <c r="P25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Klockarmband</v>
      </c>
      <c r="Q254" s="6" t="s">
        <v>808</v>
      </c>
    </row>
    <row r="255" spans="1:17" x14ac:dyDescent="0.25">
      <c r="A255" s="1" t="s">
        <v>8</v>
      </c>
      <c r="B25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mode-och-accessoarer-klockor-och-smartklockor-skarmskydd</v>
      </c>
      <c r="C255" s="3" t="s">
        <v>288</v>
      </c>
      <c r="D255" s="3" t="s">
        <v>476</v>
      </c>
      <c r="E255" s="3" t="s">
        <v>329</v>
      </c>
      <c r="F255" s="3"/>
      <c r="G255" s="4" t="b">
        <v>1</v>
      </c>
      <c r="H255" s="5"/>
      <c r="I255" s="4" t="b">
        <v>1</v>
      </c>
      <c r="J255" s="5"/>
      <c r="K255" s="5"/>
      <c r="L255" s="5"/>
      <c r="M255" s="5"/>
      <c r="N255" s="2" t="str">
        <f>Table1[[#This Row],[Level1]]</f>
        <v>Mode &amp; Accessoarer</v>
      </c>
      <c r="O255" s="2" t="str">
        <f>Table1[[#This Row],[Level1]]
&amp;IF(Table1[[#This Row],[Level2]]&lt;&gt;""," &gt; "&amp;Table1[[#This Row],[Level2]],"")</f>
        <v>Mode &amp; Accessoarer &gt; Klockor &amp; smartklockor</v>
      </c>
      <c r="P25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Skärmskydd</v>
      </c>
      <c r="Q255" s="6" t="s">
        <v>810</v>
      </c>
    </row>
    <row r="256" spans="1:17" x14ac:dyDescent="0.25">
      <c r="A256" s="1" t="s">
        <v>8</v>
      </c>
      <c r="B25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mode-och-accessoarer-klockor-och-smartklockor-smartklockor</v>
      </c>
      <c r="C256" s="3" t="s">
        <v>288</v>
      </c>
      <c r="D256" s="3" t="s">
        <v>476</v>
      </c>
      <c r="E256" s="3" t="s">
        <v>325</v>
      </c>
      <c r="F256" s="3"/>
      <c r="G256" s="4" t="b">
        <v>1</v>
      </c>
      <c r="H256" s="5"/>
      <c r="I256" s="4" t="b">
        <v>1</v>
      </c>
      <c r="J256" s="5"/>
      <c r="K256" s="5"/>
      <c r="L256" s="5"/>
      <c r="M256" s="5"/>
      <c r="N256" s="2" t="str">
        <f>Table1[[#This Row],[Level1]]</f>
        <v>Mode &amp; Accessoarer</v>
      </c>
      <c r="O256" s="2" t="str">
        <f>Table1[[#This Row],[Level1]]
&amp;IF(Table1[[#This Row],[Level2]]&lt;&gt;""," &gt; "&amp;Table1[[#This Row],[Level2]],"")</f>
        <v>Mode &amp; Accessoarer &gt; Klockor &amp; smartklockor</v>
      </c>
      <c r="P256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Smartklockor</v>
      </c>
      <c r="Q256" s="6" t="s">
        <v>811</v>
      </c>
    </row>
    <row r="257" spans="1:17" x14ac:dyDescent="0.25">
      <c r="A257" s="1" t="s">
        <v>8</v>
      </c>
      <c r="B25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mode-och-accessoarer-klockor-och-smartklockor-smartklockor-for-barn</v>
      </c>
      <c r="C257" s="3" t="s">
        <v>288</v>
      </c>
      <c r="D257" s="3" t="s">
        <v>476</v>
      </c>
      <c r="E257" s="3" t="s">
        <v>326</v>
      </c>
      <c r="F257" s="3"/>
      <c r="G257" s="4" t="b">
        <v>1</v>
      </c>
      <c r="H257" s="5"/>
      <c r="I257" s="4" t="b">
        <v>1</v>
      </c>
      <c r="J257" s="5"/>
      <c r="K257" s="5"/>
      <c r="L257" s="5"/>
      <c r="M257" s="5"/>
      <c r="N257" s="2" t="str">
        <f>Table1[[#This Row],[Level1]]</f>
        <v>Mode &amp; Accessoarer</v>
      </c>
      <c r="O257" s="2" t="str">
        <f>Table1[[#This Row],[Level1]]
&amp;IF(Table1[[#This Row],[Level2]]&lt;&gt;""," &gt; "&amp;Table1[[#This Row],[Level2]],"")</f>
        <v>Mode &amp; Accessoarer &gt; Klockor &amp; smartklockor</v>
      </c>
      <c r="P257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Smartklockor för barn</v>
      </c>
      <c r="Q257" s="6" t="s">
        <v>812</v>
      </c>
    </row>
    <row r="258" spans="1:17" x14ac:dyDescent="0.25">
      <c r="A258" s="1" t="s">
        <v>8</v>
      </c>
      <c r="B25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mode-och-accessoarer-klockor-och-smartklockor-tillbehor-och-verktyg</v>
      </c>
      <c r="C258" s="3" t="s">
        <v>288</v>
      </c>
      <c r="D258" s="3" t="s">
        <v>476</v>
      </c>
      <c r="E258" s="3" t="s">
        <v>330</v>
      </c>
      <c r="F258" s="3"/>
      <c r="G258" s="4" t="b">
        <v>1</v>
      </c>
      <c r="H258" s="5"/>
      <c r="I258" s="4" t="b">
        <v>1</v>
      </c>
      <c r="J258" s="5"/>
      <c r="K258" s="5"/>
      <c r="L258" s="5"/>
      <c r="M258" s="5"/>
      <c r="N258" s="2" t="str">
        <f>Table1[[#This Row],[Level1]]</f>
        <v>Mode &amp; Accessoarer</v>
      </c>
      <c r="O258" s="2" t="str">
        <f>Table1[[#This Row],[Level1]]
&amp;IF(Table1[[#This Row],[Level2]]&lt;&gt;""," &gt; "&amp;Table1[[#This Row],[Level2]],"")</f>
        <v>Mode &amp; Accessoarer &gt; Klockor &amp; smartklockor</v>
      </c>
      <c r="P258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Klockor &amp; smartklockor &gt; Tillbehör &amp; verktyg</v>
      </c>
      <c r="Q258" s="6" t="s">
        <v>813</v>
      </c>
    </row>
    <row r="259" spans="1:17" x14ac:dyDescent="0.25">
      <c r="A259" s="1" t="s">
        <v>8</v>
      </c>
      <c r="B25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hushall-och-kok-koksredskap-handredskap-for-matlagning</v>
      </c>
      <c r="C259" s="3" t="s">
        <v>484</v>
      </c>
      <c r="D259" s="3" t="s">
        <v>20</v>
      </c>
      <c r="E259" s="3" t="s">
        <v>179</v>
      </c>
      <c r="F259" s="3"/>
      <c r="G259" s="4" t="b">
        <v>1</v>
      </c>
      <c r="H259" s="5"/>
      <c r="I259" s="4" t="b">
        <v>1</v>
      </c>
      <c r="J259" s="5"/>
      <c r="K259" s="5"/>
      <c r="L259" s="5"/>
      <c r="M259" s="5"/>
      <c r="N259" s="2" t="str">
        <f>Table1[[#This Row],[Level1]]</f>
        <v>Hushåll &amp; Kök</v>
      </c>
      <c r="O259" s="2" t="str">
        <f>Table1[[#This Row],[Level1]]
&amp;IF(Table1[[#This Row],[Level2]]&lt;&gt;""," &gt; "&amp;Table1[[#This Row],[Level2]],"")</f>
        <v>Hushåll &amp; Kök &gt; Köksredskap</v>
      </c>
      <c r="P259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Köksredskap &gt; Handredskap för matlagning</v>
      </c>
      <c r="Q259" s="6" t="s">
        <v>762</v>
      </c>
    </row>
    <row r="260" spans="1:17" x14ac:dyDescent="0.25">
      <c r="A260" s="1" t="s">
        <v>8</v>
      </c>
      <c r="B26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hushall-och-kok-koksredskap-knivar-saxar-och-slipning</v>
      </c>
      <c r="C260" s="3" t="s">
        <v>484</v>
      </c>
      <c r="D260" s="3" t="s">
        <v>20</v>
      </c>
      <c r="E260" s="3" t="s">
        <v>180</v>
      </c>
      <c r="F260" s="3"/>
      <c r="G260" s="4" t="b">
        <v>1</v>
      </c>
      <c r="H260" s="5"/>
      <c r="I260" s="4" t="b">
        <v>1</v>
      </c>
      <c r="J260" s="5"/>
      <c r="K260" s="5"/>
      <c r="L260" s="5"/>
      <c r="M260" s="5"/>
      <c r="N260" s="2" t="str">
        <f>Table1[[#This Row],[Level1]]</f>
        <v>Hushåll &amp; Kök</v>
      </c>
      <c r="O260" s="2" t="str">
        <f>Table1[[#This Row],[Level1]]
&amp;IF(Table1[[#This Row],[Level2]]&lt;&gt;""," &gt; "&amp;Table1[[#This Row],[Level2]],"")</f>
        <v>Hushåll &amp; Kök &gt; Köksredskap</v>
      </c>
      <c r="P260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Köksredskap &gt; Knivar, saxar &amp; slipning</v>
      </c>
      <c r="Q260" s="6" t="s">
        <v>763</v>
      </c>
    </row>
    <row r="261" spans="1:17" x14ac:dyDescent="0.25">
      <c r="A261" s="1" t="s">
        <v>8</v>
      </c>
      <c r="B26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hushall-och-kok-koksredskap-matt-och-mattskedar</v>
      </c>
      <c r="C261" s="3" t="s">
        <v>484</v>
      </c>
      <c r="D261" s="3" t="s">
        <v>20</v>
      </c>
      <c r="E261" s="3" t="s">
        <v>425</v>
      </c>
      <c r="F261" s="3"/>
      <c r="G261" s="4" t="b">
        <v>1</v>
      </c>
      <c r="H261" s="5"/>
      <c r="I261" s="4" t="b">
        <v>1</v>
      </c>
      <c r="J261" s="5"/>
      <c r="K261" s="5"/>
      <c r="L261" s="5"/>
      <c r="M261" s="5"/>
      <c r="N261" s="2" t="str">
        <f>Table1[[#This Row],[Level1]]</f>
        <v>Hushåll &amp; Kök</v>
      </c>
      <c r="O261" s="2" t="str">
        <f>Table1[[#This Row],[Level1]]
&amp;IF(Table1[[#This Row],[Level2]]&lt;&gt;""," &gt; "&amp;Table1[[#This Row],[Level2]],"")</f>
        <v>Hushåll &amp; Kök &gt; Köksredskap</v>
      </c>
      <c r="P261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Köksredskap &gt; Mått &amp; måttskedar</v>
      </c>
      <c r="Q261" s="6" t="s">
        <v>764</v>
      </c>
    </row>
    <row r="262" spans="1:17" x14ac:dyDescent="0.25">
      <c r="A262" s="1" t="s">
        <v>8</v>
      </c>
      <c r="B26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hushall-och-kok-koksredskap-ovriga-koksredskap</v>
      </c>
      <c r="C262" s="3" t="s">
        <v>484</v>
      </c>
      <c r="D262" s="3" t="s">
        <v>20</v>
      </c>
      <c r="E262" s="3" t="s">
        <v>182</v>
      </c>
      <c r="F262" s="3"/>
      <c r="G262" s="4" t="b">
        <v>1</v>
      </c>
      <c r="H262" s="5"/>
      <c r="I262" s="4" t="b">
        <v>1</v>
      </c>
      <c r="J262" s="5"/>
      <c r="K262" s="5"/>
      <c r="L262" s="5"/>
      <c r="M262" s="5"/>
      <c r="N262" s="2" t="str">
        <f>Table1[[#This Row],[Level1]]</f>
        <v>Hushåll &amp; Kök</v>
      </c>
      <c r="O262" s="2" t="str">
        <f>Table1[[#This Row],[Level1]]
&amp;IF(Table1[[#This Row],[Level2]]&lt;&gt;""," &gt; "&amp;Table1[[#This Row],[Level2]],"")</f>
        <v>Hushåll &amp; Kök &gt; Köksredskap</v>
      </c>
      <c r="P262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Köksredskap &gt; Övriga köksredskap</v>
      </c>
      <c r="Q262" s="6" t="s">
        <v>765</v>
      </c>
    </row>
    <row r="263" spans="1:17" x14ac:dyDescent="0.25">
      <c r="A263" s="1" t="s">
        <v>8</v>
      </c>
      <c r="B26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hushall-och-kok-koksredskap-silar-och-durkslag</v>
      </c>
      <c r="C263" s="3" t="s">
        <v>484</v>
      </c>
      <c r="D263" s="3" t="s">
        <v>20</v>
      </c>
      <c r="E263" s="3" t="s">
        <v>21</v>
      </c>
      <c r="F263" s="3"/>
      <c r="G263" s="4" t="b">
        <v>1</v>
      </c>
      <c r="H263" s="5"/>
      <c r="I263" s="4" t="b">
        <v>1</v>
      </c>
      <c r="J263" s="5"/>
      <c r="K263" s="5"/>
      <c r="L263" s="5"/>
      <c r="M263" s="5"/>
      <c r="N263" s="2" t="str">
        <f>Table1[[#This Row],[Level1]]</f>
        <v>Hushåll &amp; Kök</v>
      </c>
      <c r="O263" s="2" t="str">
        <f>Table1[[#This Row],[Level1]]
&amp;IF(Table1[[#This Row],[Level2]]&lt;&gt;""," &gt; "&amp;Table1[[#This Row],[Level2]],"")</f>
        <v>Hushåll &amp; Kök &gt; Köksredskap</v>
      </c>
      <c r="P263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Köksredskap &gt; Silar &amp; durkslag</v>
      </c>
      <c r="Q263" s="6" t="s">
        <v>766</v>
      </c>
    </row>
    <row r="264" spans="1:17" x14ac:dyDescent="0.25">
      <c r="A264" s="1" t="s">
        <v>8</v>
      </c>
      <c r="B26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hushall-och-kok-koksredskap-skala-riva-och-skara</v>
      </c>
      <c r="C264" s="3" t="s">
        <v>484</v>
      </c>
      <c r="D264" s="3" t="s">
        <v>20</v>
      </c>
      <c r="E264" s="3" t="s">
        <v>181</v>
      </c>
      <c r="F264" s="3"/>
      <c r="G264" s="4" t="b">
        <v>1</v>
      </c>
      <c r="H264" s="5"/>
      <c r="I264" s="4" t="b">
        <v>1</v>
      </c>
      <c r="J264" s="5"/>
      <c r="K264" s="5"/>
      <c r="L264" s="5"/>
      <c r="M264" s="5"/>
      <c r="N264" s="2" t="str">
        <f>Table1[[#This Row],[Level1]]</f>
        <v>Hushåll &amp; Kök</v>
      </c>
      <c r="O264" s="2" t="str">
        <f>Table1[[#This Row],[Level1]]
&amp;IF(Table1[[#This Row],[Level2]]&lt;&gt;""," &gt; "&amp;Table1[[#This Row],[Level2]],"")</f>
        <v>Hushåll &amp; Kök &gt; Köksredskap</v>
      </c>
      <c r="P264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Köksredskap &gt; Skala, riva &amp; skära</v>
      </c>
      <c r="Q264" s="6" t="s">
        <v>767</v>
      </c>
    </row>
    <row r="265" spans="1:17" x14ac:dyDescent="0.25">
      <c r="A265" s="1" t="s">
        <v>8</v>
      </c>
      <c r="B26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hushall-och-kok-kokstillbehor-och-bak-baktillbehor-och-formar</v>
      </c>
      <c r="C265" s="3" t="s">
        <v>484</v>
      </c>
      <c r="D265" s="3" t="s">
        <v>462</v>
      </c>
      <c r="E265" s="3" t="s">
        <v>188</v>
      </c>
      <c r="F265" s="3"/>
      <c r="G265" s="4" t="b">
        <v>1</v>
      </c>
      <c r="H265" s="5"/>
      <c r="I265" s="4" t="b">
        <v>1</v>
      </c>
      <c r="J265" s="5"/>
      <c r="K265" s="5"/>
      <c r="L265" s="5"/>
      <c r="M265" s="5"/>
      <c r="N265" s="2" t="str">
        <f>Table1[[#This Row],[Level1]]</f>
        <v>Hushåll &amp; Kök</v>
      </c>
      <c r="O265" s="2" t="str">
        <f>Table1[[#This Row],[Level1]]
&amp;IF(Table1[[#This Row],[Level2]]&lt;&gt;""," &gt; "&amp;Table1[[#This Row],[Level2]],"")</f>
        <v>Hushåll &amp; Kök &gt; Kökstillbehör &amp; bak</v>
      </c>
      <c r="P265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Baktillbehör &amp; formar</v>
      </c>
      <c r="Q265" s="6" t="s">
        <v>768</v>
      </c>
    </row>
    <row r="266" spans="1:17" x14ac:dyDescent="0.25">
      <c r="A266" s="1" t="s">
        <v>8</v>
      </c>
      <c r="B26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hushall-och-kok-kokstillbehor-och-bak-diskstall-och-torkstall</v>
      </c>
      <c r="C266" s="3" t="s">
        <v>484</v>
      </c>
      <c r="D266" s="3" t="s">
        <v>462</v>
      </c>
      <c r="E266" s="3" t="s">
        <v>30</v>
      </c>
      <c r="F266" s="3"/>
      <c r="G266" s="4" t="b">
        <v>1</v>
      </c>
      <c r="H266" s="5"/>
      <c r="I266" s="4" t="b">
        <v>1</v>
      </c>
      <c r="J266" s="5"/>
      <c r="K266" s="5"/>
      <c r="L266" s="5"/>
      <c r="M266" s="5"/>
      <c r="N266" s="2" t="str">
        <f>Table1[[#This Row],[Level1]]</f>
        <v>Hushåll &amp; Kök</v>
      </c>
      <c r="O266" s="2" t="str">
        <f>Table1[[#This Row],[Level1]]
&amp;IF(Table1[[#This Row],[Level2]]&lt;&gt;""," &gt; "&amp;Table1[[#This Row],[Level2]],"")</f>
        <v>Hushåll &amp; Kök &gt; Kökstillbehör &amp; bak</v>
      </c>
      <c r="P266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Diskställ &amp; torkställ</v>
      </c>
      <c r="Q266" s="6" t="s">
        <v>769</v>
      </c>
    </row>
    <row r="267" spans="1:17" x14ac:dyDescent="0.25">
      <c r="A267" s="1" t="s">
        <v>8</v>
      </c>
      <c r="B26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hushall-och-kok-kokstillbehor-och-bak-forkladen-och-kokstextilier</v>
      </c>
      <c r="C267" s="3" t="s">
        <v>484</v>
      </c>
      <c r="D267" s="3" t="s">
        <v>462</v>
      </c>
      <c r="E267" s="3" t="s">
        <v>189</v>
      </c>
      <c r="F267" s="3"/>
      <c r="G267" s="4" t="b">
        <v>1</v>
      </c>
      <c r="H267" s="5"/>
      <c r="I267" s="4" t="b">
        <v>1</v>
      </c>
      <c r="J267" s="5"/>
      <c r="K267" s="5"/>
      <c r="L267" s="5"/>
      <c r="M267" s="5"/>
      <c r="N267" s="2" t="str">
        <f>Table1[[#This Row],[Level1]]</f>
        <v>Hushåll &amp; Kök</v>
      </c>
      <c r="O267" s="2" t="str">
        <f>Table1[[#This Row],[Level1]]
&amp;IF(Table1[[#This Row],[Level2]]&lt;&gt;""," &gt; "&amp;Table1[[#This Row],[Level2]],"")</f>
        <v>Hushåll &amp; Kök &gt; Kökstillbehör &amp; bak</v>
      </c>
      <c r="P267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Förkläden &amp; kökstextilier</v>
      </c>
      <c r="Q267" s="6" t="s">
        <v>770</v>
      </c>
    </row>
    <row r="268" spans="1:17" x14ac:dyDescent="0.25">
      <c r="A268" s="1" t="s">
        <v>8</v>
      </c>
      <c r="B26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hushall-och-kok-kokstillbehor-och-bak-grytlappar-och-grillvantar</v>
      </c>
      <c r="C268" s="3" t="s">
        <v>484</v>
      </c>
      <c r="D268" s="3" t="s">
        <v>462</v>
      </c>
      <c r="E268" s="3" t="s">
        <v>190</v>
      </c>
      <c r="F268" s="3"/>
      <c r="G268" s="4" t="b">
        <v>1</v>
      </c>
      <c r="H268" s="5"/>
      <c r="I268" s="4" t="b">
        <v>1</v>
      </c>
      <c r="J268" s="5"/>
      <c r="K268" s="5"/>
      <c r="L268" s="5"/>
      <c r="M268" s="5"/>
      <c r="N268" s="2" t="str">
        <f>Table1[[#This Row],[Level1]]</f>
        <v>Hushåll &amp; Kök</v>
      </c>
      <c r="O268" s="2" t="str">
        <f>Table1[[#This Row],[Level1]]
&amp;IF(Table1[[#This Row],[Level2]]&lt;&gt;""," &gt; "&amp;Table1[[#This Row],[Level2]],"")</f>
        <v>Hushåll &amp; Kök &gt; Kökstillbehör &amp; bak</v>
      </c>
      <c r="P268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Grytlappar &amp; grillvantar</v>
      </c>
      <c r="Q268" s="6" t="s">
        <v>771</v>
      </c>
    </row>
    <row r="269" spans="1:17" x14ac:dyDescent="0.25">
      <c r="A269" s="1" t="s">
        <v>8</v>
      </c>
      <c r="B26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hushall-och-kok-kokstillbehor-och-bak-isformar</v>
      </c>
      <c r="C269" s="3" t="s">
        <v>484</v>
      </c>
      <c r="D269" s="3" t="s">
        <v>462</v>
      </c>
      <c r="E269" s="3" t="s">
        <v>28</v>
      </c>
      <c r="F269" s="3"/>
      <c r="G269" s="4" t="b">
        <v>1</v>
      </c>
      <c r="H269" s="5"/>
      <c r="I269" s="4" t="b">
        <v>1</v>
      </c>
      <c r="J269" s="5"/>
      <c r="K269" s="5"/>
      <c r="L269" s="5"/>
      <c r="M269" s="5"/>
      <c r="N269" s="2" t="str">
        <f>Table1[[#This Row],[Level1]]</f>
        <v>Hushåll &amp; Kök</v>
      </c>
      <c r="O269" s="2" t="str">
        <f>Table1[[#This Row],[Level1]]
&amp;IF(Table1[[#This Row],[Level2]]&lt;&gt;""," &gt; "&amp;Table1[[#This Row],[Level2]],"")</f>
        <v>Hushåll &amp; Kök &gt; Kökstillbehör &amp; bak</v>
      </c>
      <c r="P269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Isformar</v>
      </c>
      <c r="Q269" s="6" t="s">
        <v>772</v>
      </c>
    </row>
    <row r="270" spans="1:17" x14ac:dyDescent="0.25">
      <c r="A270" s="1" t="s">
        <v>8</v>
      </c>
      <c r="B27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hushall-och-kok-kokstillbehor-och-bak-kaffe-vin-och-drinktillbehor</v>
      </c>
      <c r="C270" s="3" t="s">
        <v>484</v>
      </c>
      <c r="D270" s="3" t="s">
        <v>462</v>
      </c>
      <c r="E270" s="3" t="s">
        <v>192</v>
      </c>
      <c r="F270" s="3"/>
      <c r="G270" s="4" t="b">
        <v>1</v>
      </c>
      <c r="H270" s="5"/>
      <c r="I270" s="4" t="b">
        <v>1</v>
      </c>
      <c r="J270" s="5"/>
      <c r="K270" s="5"/>
      <c r="L270" s="5"/>
      <c r="M270" s="5"/>
      <c r="N270" s="2" t="str">
        <f>Table1[[#This Row],[Level1]]</f>
        <v>Hushåll &amp; Kök</v>
      </c>
      <c r="O270" s="2" t="str">
        <f>Table1[[#This Row],[Level1]]
&amp;IF(Table1[[#This Row],[Level2]]&lt;&gt;""," &gt; "&amp;Table1[[#This Row],[Level2]],"")</f>
        <v>Hushåll &amp; Kök &gt; Kökstillbehör &amp; bak</v>
      </c>
      <c r="P270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Kaffe-, vin- &amp; drinktillbehör</v>
      </c>
      <c r="Q270" s="6" t="s">
        <v>773</v>
      </c>
    </row>
    <row r="271" spans="1:17" x14ac:dyDescent="0.25">
      <c r="A271" s="1" t="s">
        <v>8</v>
      </c>
      <c r="B27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hushall-och-kok-kokstillbehor-och-bak-koksorganiserare</v>
      </c>
      <c r="C271" s="3" t="s">
        <v>484</v>
      </c>
      <c r="D271" s="3" t="s">
        <v>462</v>
      </c>
      <c r="E271" s="3" t="s">
        <v>29</v>
      </c>
      <c r="F271" s="3"/>
      <c r="G271" s="4" t="b">
        <v>1</v>
      </c>
      <c r="H271" s="5"/>
      <c r="I271" s="4" t="b">
        <v>1</v>
      </c>
      <c r="J271" s="5"/>
      <c r="K271" s="5"/>
      <c r="L271" s="5"/>
      <c r="M271" s="5"/>
      <c r="N271" s="2" t="str">
        <f>Table1[[#This Row],[Level1]]</f>
        <v>Hushåll &amp; Kök</v>
      </c>
      <c r="O271" s="2" t="str">
        <f>Table1[[#This Row],[Level1]]
&amp;IF(Table1[[#This Row],[Level2]]&lt;&gt;""," &gt; "&amp;Table1[[#This Row],[Level2]],"")</f>
        <v>Hushåll &amp; Kök &gt; Kökstillbehör &amp; bak</v>
      </c>
      <c r="P271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Köksorganiserare</v>
      </c>
      <c r="Q271" s="6" t="s">
        <v>774</v>
      </c>
    </row>
    <row r="272" spans="1:17" x14ac:dyDescent="0.25">
      <c r="A272" s="1" t="s">
        <v>8</v>
      </c>
      <c r="B27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hushall-och-kok-kokstillbehor-och-bak-kryddor-olja-och-malning</v>
      </c>
      <c r="C272" s="3" t="s">
        <v>484</v>
      </c>
      <c r="D272" s="3" t="s">
        <v>462</v>
      </c>
      <c r="E272" s="3" t="s">
        <v>191</v>
      </c>
      <c r="F272" s="3"/>
      <c r="G272" s="4" t="b">
        <v>1</v>
      </c>
      <c r="H272" s="5"/>
      <c r="I272" s="4" t="b">
        <v>1</v>
      </c>
      <c r="J272" s="5"/>
      <c r="K272" s="5"/>
      <c r="L272" s="5"/>
      <c r="M272" s="5"/>
      <c r="N272" s="2" t="str">
        <f>Table1[[#This Row],[Level1]]</f>
        <v>Hushåll &amp; Kök</v>
      </c>
      <c r="O272" s="2" t="str">
        <f>Table1[[#This Row],[Level1]]
&amp;IF(Table1[[#This Row],[Level2]]&lt;&gt;""," &gt; "&amp;Table1[[#This Row],[Level2]],"")</f>
        <v>Hushåll &amp; Kök &gt; Kökstillbehör &amp; bak</v>
      </c>
      <c r="P272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Kryddor, olja &amp; malning</v>
      </c>
      <c r="Q272" s="6" t="s">
        <v>775</v>
      </c>
    </row>
    <row r="273" spans="1:17" x14ac:dyDescent="0.25">
      <c r="A273" s="1" t="s">
        <v>8</v>
      </c>
      <c r="B27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hushall-och-kok-kokstillbehor-och-bak-ovriga-kokstillbehor</v>
      </c>
      <c r="C273" s="3" t="s">
        <v>484</v>
      </c>
      <c r="D273" s="3" t="s">
        <v>462</v>
      </c>
      <c r="E273" s="3" t="s">
        <v>193</v>
      </c>
      <c r="F273" s="3"/>
      <c r="G273" s="4" t="b">
        <v>1</v>
      </c>
      <c r="H273" s="5"/>
      <c r="I273" s="4" t="b">
        <v>1</v>
      </c>
      <c r="J273" s="5"/>
      <c r="K273" s="5"/>
      <c r="L273" s="5"/>
      <c r="M273" s="5"/>
      <c r="N273" s="2" t="str">
        <f>Table1[[#This Row],[Level1]]</f>
        <v>Hushåll &amp; Kök</v>
      </c>
      <c r="O273" s="2" t="str">
        <f>Table1[[#This Row],[Level1]]
&amp;IF(Table1[[#This Row],[Level2]]&lt;&gt;""," &gt; "&amp;Table1[[#This Row],[Level2]],"")</f>
        <v>Hushåll &amp; Kök &gt; Kökstillbehör &amp; bak</v>
      </c>
      <c r="P273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Övriga kökstillbehör</v>
      </c>
      <c r="Q273" s="6" t="s">
        <v>776</v>
      </c>
    </row>
    <row r="274" spans="1:17" x14ac:dyDescent="0.25">
      <c r="A274" s="1" t="s">
        <v>8</v>
      </c>
      <c r="B27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hushall-och-kok-kokstillbehor-och-bak-pizzatillbehor</v>
      </c>
      <c r="C274" s="3" t="s">
        <v>484</v>
      </c>
      <c r="D274" s="3" t="s">
        <v>462</v>
      </c>
      <c r="E274" s="3" t="s">
        <v>27</v>
      </c>
      <c r="F274" s="3"/>
      <c r="G274" s="4" t="b">
        <v>1</v>
      </c>
      <c r="H274" s="5"/>
      <c r="I274" s="4" t="b">
        <v>1</v>
      </c>
      <c r="J274" s="5"/>
      <c r="K274" s="5"/>
      <c r="L274" s="5"/>
      <c r="M274" s="5"/>
      <c r="N274" s="2" t="str">
        <f>Table1[[#This Row],[Level1]]</f>
        <v>Hushåll &amp; Kök</v>
      </c>
      <c r="O274" s="2" t="str">
        <f>Table1[[#This Row],[Level1]]
&amp;IF(Table1[[#This Row],[Level2]]&lt;&gt;""," &gt; "&amp;Table1[[#This Row],[Level2]],"")</f>
        <v>Hushåll &amp; Kök &gt; Kökstillbehör &amp; bak</v>
      </c>
      <c r="P274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Pizzatillbehör</v>
      </c>
      <c r="Q274" s="6" t="s">
        <v>777</v>
      </c>
    </row>
    <row r="275" spans="1:17" x14ac:dyDescent="0.25">
      <c r="A275" s="1" t="s">
        <v>8</v>
      </c>
      <c r="B27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hushall-och-kok-kokstillbehor-och-bak-tartdekorationsutrustning</v>
      </c>
      <c r="C275" s="3" t="s">
        <v>484</v>
      </c>
      <c r="D275" s="3" t="s">
        <v>462</v>
      </c>
      <c r="E275" s="3" t="s">
        <v>26</v>
      </c>
      <c r="F275" s="3"/>
      <c r="G275" s="4" t="b">
        <v>1</v>
      </c>
      <c r="H275" s="5"/>
      <c r="I275" s="4" t="b">
        <v>1</v>
      </c>
      <c r="J275" s="5"/>
      <c r="K275" s="5"/>
      <c r="L275" s="5"/>
      <c r="M275" s="5"/>
      <c r="N275" s="2" t="str">
        <f>Table1[[#This Row],[Level1]]</f>
        <v>Hushåll &amp; Kök</v>
      </c>
      <c r="O275" s="2" t="str">
        <f>Table1[[#This Row],[Level1]]
&amp;IF(Table1[[#This Row],[Level2]]&lt;&gt;""," &gt; "&amp;Table1[[#This Row],[Level2]],"")</f>
        <v>Hushåll &amp; Kök &gt; Kökstillbehör &amp; bak</v>
      </c>
      <c r="P275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Tårtdekorationsutrustning</v>
      </c>
      <c r="Q275" s="6" t="s">
        <v>778</v>
      </c>
    </row>
    <row r="276" spans="1:17" x14ac:dyDescent="0.25">
      <c r="A276" s="1" t="s">
        <v>8</v>
      </c>
      <c r="B27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hushall-och-kok-kokstillbehor-och-bak-vispar-och-mjolkskummare</v>
      </c>
      <c r="C276" s="3" t="s">
        <v>484</v>
      </c>
      <c r="D276" s="3" t="s">
        <v>462</v>
      </c>
      <c r="E276" s="3" t="s">
        <v>31</v>
      </c>
      <c r="F276" s="3"/>
      <c r="G276" s="4" t="b">
        <v>1</v>
      </c>
      <c r="H276" s="5"/>
      <c r="I276" s="4" t="b">
        <v>1</v>
      </c>
      <c r="J276" s="5"/>
      <c r="K276" s="5"/>
      <c r="L276" s="5"/>
      <c r="M276" s="5"/>
      <c r="N276" s="2" t="str">
        <f>Table1[[#This Row],[Level1]]</f>
        <v>Hushåll &amp; Kök</v>
      </c>
      <c r="O276" s="2" t="str">
        <f>Table1[[#This Row],[Level1]]
&amp;IF(Table1[[#This Row],[Level2]]&lt;&gt;""," &gt; "&amp;Table1[[#This Row],[Level2]],"")</f>
        <v>Hushåll &amp; Kök &gt; Kökstillbehör &amp; bak</v>
      </c>
      <c r="P276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Kökstillbehör &amp; bak &gt; Vispar &amp; mjölkskummare</v>
      </c>
      <c r="Q276" s="6" t="s">
        <v>779</v>
      </c>
    </row>
    <row r="277" spans="1:17" x14ac:dyDescent="0.25">
      <c r="A277" s="1" t="s">
        <v>8</v>
      </c>
      <c r="B27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hushall-och-kok-koksutrustning-aggklockor-och-kokstimers</v>
      </c>
      <c r="C277" s="3" t="s">
        <v>484</v>
      </c>
      <c r="D277" s="3" t="s">
        <v>22</v>
      </c>
      <c r="E277" s="3" t="s">
        <v>183</v>
      </c>
      <c r="F277" s="3"/>
      <c r="G277" s="4" t="b">
        <v>1</v>
      </c>
      <c r="H277" s="5"/>
      <c r="I277" s="4" t="b">
        <v>1</v>
      </c>
      <c r="J277" s="5"/>
      <c r="K277" s="5"/>
      <c r="L277" s="5"/>
      <c r="M277" s="5"/>
      <c r="N277" s="2" t="str">
        <f>Table1[[#This Row],[Level1]]</f>
        <v>Hushåll &amp; Kök</v>
      </c>
      <c r="O277" s="2" t="str">
        <f>Table1[[#This Row],[Level1]]
&amp;IF(Table1[[#This Row],[Level2]]&lt;&gt;""," &gt; "&amp;Table1[[#This Row],[Level2]],"")</f>
        <v>Hushåll &amp; Kök &gt; Köksutrustning</v>
      </c>
      <c r="P277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Äggklockor &amp; kökstimers</v>
      </c>
      <c r="Q277" s="6" t="s">
        <v>780</v>
      </c>
    </row>
    <row r="278" spans="1:17" x14ac:dyDescent="0.25">
      <c r="A278" s="1" t="s">
        <v>8</v>
      </c>
      <c r="B27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hushall-och-kok-koksutrustning-koksmaskiner-och-apparater</v>
      </c>
      <c r="C278" s="3" t="s">
        <v>484</v>
      </c>
      <c r="D278" s="3" t="s">
        <v>22</v>
      </c>
      <c r="E278" s="3" t="s">
        <v>184</v>
      </c>
      <c r="F278" s="3"/>
      <c r="G278" s="4" t="b">
        <v>1</v>
      </c>
      <c r="H278" s="5"/>
      <c r="I278" s="4" t="b">
        <v>1</v>
      </c>
      <c r="J278" s="5"/>
      <c r="K278" s="5"/>
      <c r="L278" s="5"/>
      <c r="M278" s="5"/>
      <c r="N278" s="2" t="str">
        <f>Table1[[#This Row],[Level1]]</f>
        <v>Hushåll &amp; Kök</v>
      </c>
      <c r="O278" s="2" t="str">
        <f>Table1[[#This Row],[Level1]]
&amp;IF(Table1[[#This Row],[Level2]]&lt;&gt;""," &gt; "&amp;Table1[[#This Row],[Level2]],"")</f>
        <v>Hushåll &amp; Kök &gt; Köksutrustning</v>
      </c>
      <c r="P278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Köksmaskiner &amp; apparater</v>
      </c>
      <c r="Q278" s="6" t="s">
        <v>781</v>
      </c>
    </row>
    <row r="279" spans="1:17" x14ac:dyDescent="0.25">
      <c r="A279" s="1" t="s">
        <v>8</v>
      </c>
      <c r="B27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hushall-och-kok-koksutrustning-koksvagar</v>
      </c>
      <c r="C279" s="3" t="s">
        <v>484</v>
      </c>
      <c r="D279" s="3" t="s">
        <v>22</v>
      </c>
      <c r="E279" s="3" t="s">
        <v>23</v>
      </c>
      <c r="F279" s="3"/>
      <c r="G279" s="4" t="b">
        <v>1</v>
      </c>
      <c r="H279" s="5"/>
      <c r="I279" s="4" t="b">
        <v>1</v>
      </c>
      <c r="J279" s="5"/>
      <c r="K279" s="5"/>
      <c r="L279" s="5"/>
      <c r="M279" s="5"/>
      <c r="N279" s="2" t="str">
        <f>Table1[[#This Row],[Level1]]</f>
        <v>Hushåll &amp; Kök</v>
      </c>
      <c r="O279" s="2" t="str">
        <f>Table1[[#This Row],[Level1]]
&amp;IF(Table1[[#This Row],[Level2]]&lt;&gt;""," &gt; "&amp;Table1[[#This Row],[Level2]],"")</f>
        <v>Hushåll &amp; Kök &gt; Köksutrustning</v>
      </c>
      <c r="P279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Köksvågar</v>
      </c>
      <c r="Q279" s="6" t="s">
        <v>782</v>
      </c>
    </row>
    <row r="280" spans="1:17" x14ac:dyDescent="0.25">
      <c r="A280" s="1" t="s">
        <v>8</v>
      </c>
      <c r="B28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hushall-och-kok-koksutrustning-lunchlador-och-matbehallare</v>
      </c>
      <c r="C280" s="3" t="s">
        <v>484</v>
      </c>
      <c r="D280" s="3" t="s">
        <v>22</v>
      </c>
      <c r="E280" s="3" t="s">
        <v>186</v>
      </c>
      <c r="F280" s="3"/>
      <c r="G280" s="4" t="b">
        <v>1</v>
      </c>
      <c r="H280" s="5"/>
      <c r="I280" s="4" t="b">
        <v>1</v>
      </c>
      <c r="J280" s="5"/>
      <c r="K280" s="5"/>
      <c r="L280" s="5"/>
      <c r="M280" s="5"/>
      <c r="N280" s="2" t="str">
        <f>Table1[[#This Row],[Level1]]</f>
        <v>Hushåll &amp; Kök</v>
      </c>
      <c r="O280" s="2" t="str">
        <f>Table1[[#This Row],[Level1]]
&amp;IF(Table1[[#This Row],[Level2]]&lt;&gt;""," &gt; "&amp;Table1[[#This Row],[Level2]],"")</f>
        <v>Hushåll &amp; Kök &gt; Köksutrustning</v>
      </c>
      <c r="P280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Lunchlådor &amp; matbehållare</v>
      </c>
      <c r="Q280" s="6" t="s">
        <v>783</v>
      </c>
    </row>
    <row r="281" spans="1:17" x14ac:dyDescent="0.25">
      <c r="A281" s="1" t="s">
        <v>8</v>
      </c>
      <c r="B28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hushall-och-kok-koksutrustning-matlagningstermometrar</v>
      </c>
      <c r="C281" s="3" t="s">
        <v>484</v>
      </c>
      <c r="D281" s="3" t="s">
        <v>22</v>
      </c>
      <c r="E281" s="3" t="s">
        <v>24</v>
      </c>
      <c r="F281" s="3"/>
      <c r="G281" s="4" t="b">
        <v>1</v>
      </c>
      <c r="H281" s="5"/>
      <c r="I281" s="4" t="b">
        <v>1</v>
      </c>
      <c r="J281" s="5"/>
      <c r="K281" s="5"/>
      <c r="L281" s="5"/>
      <c r="M281" s="5"/>
      <c r="N281" s="2" t="str">
        <f>Table1[[#This Row],[Level1]]</f>
        <v>Hushåll &amp; Kök</v>
      </c>
      <c r="O281" s="2" t="str">
        <f>Table1[[#This Row],[Level1]]
&amp;IF(Table1[[#This Row],[Level2]]&lt;&gt;""," &gt; "&amp;Table1[[#This Row],[Level2]],"")</f>
        <v>Hushåll &amp; Kök &gt; Köksutrustning</v>
      </c>
      <c r="P281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Matlagningstermometrar</v>
      </c>
      <c r="Q281" s="6" t="s">
        <v>784</v>
      </c>
    </row>
    <row r="282" spans="1:17" x14ac:dyDescent="0.25">
      <c r="A282" s="1" t="s">
        <v>8</v>
      </c>
      <c r="B28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hushall-och-kok-koksutrustning-ovrig-koksutrustning</v>
      </c>
      <c r="C282" s="3" t="s">
        <v>484</v>
      </c>
      <c r="D282" s="3" t="s">
        <v>22</v>
      </c>
      <c r="E282" s="3" t="s">
        <v>187</v>
      </c>
      <c r="F282" s="3"/>
      <c r="G282" s="4" t="b">
        <v>1</v>
      </c>
      <c r="H282" s="5"/>
      <c r="I282" s="4" t="b">
        <v>1</v>
      </c>
      <c r="J282" s="5"/>
      <c r="K282" s="5"/>
      <c r="L282" s="5"/>
      <c r="M282" s="5"/>
      <c r="N282" s="2" t="str">
        <f>Table1[[#This Row],[Level1]]</f>
        <v>Hushåll &amp; Kök</v>
      </c>
      <c r="O282" s="2" t="str">
        <f>Table1[[#This Row],[Level1]]
&amp;IF(Table1[[#This Row],[Level2]]&lt;&gt;""," &gt; "&amp;Table1[[#This Row],[Level2]],"")</f>
        <v>Hushåll &amp; Kök &gt; Köksutrustning</v>
      </c>
      <c r="P282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Övrig köksutrustning</v>
      </c>
      <c r="Q282" s="6" t="s">
        <v>785</v>
      </c>
    </row>
    <row r="283" spans="1:17" x14ac:dyDescent="0.25">
      <c r="A283" s="1" t="s">
        <v>8</v>
      </c>
      <c r="B28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hushall-och-kok-koksutrustning-tillbehor-till-koksmaskiner</v>
      </c>
      <c r="C283" s="3" t="s">
        <v>484</v>
      </c>
      <c r="D283" s="3" t="s">
        <v>22</v>
      </c>
      <c r="E283" s="3" t="s">
        <v>185</v>
      </c>
      <c r="F283" s="3"/>
      <c r="G283" s="4" t="b">
        <v>1</v>
      </c>
      <c r="H283" s="5"/>
      <c r="I283" s="4" t="b">
        <v>1</v>
      </c>
      <c r="J283" s="5"/>
      <c r="K283" s="5"/>
      <c r="L283" s="5"/>
      <c r="M283" s="5"/>
      <c r="N283" s="2" t="str">
        <f>Table1[[#This Row],[Level1]]</f>
        <v>Hushåll &amp; Kök</v>
      </c>
      <c r="O283" s="2" t="str">
        <f>Table1[[#This Row],[Level1]]
&amp;IF(Table1[[#This Row],[Level2]]&lt;&gt;""," &gt; "&amp;Table1[[#This Row],[Level2]],"")</f>
        <v>Hushåll &amp; Kök &gt; Köksutrustning</v>
      </c>
      <c r="P283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Tillbehör till köksmaskiner</v>
      </c>
      <c r="Q283" s="6" t="s">
        <v>786</v>
      </c>
    </row>
    <row r="284" spans="1:17" x14ac:dyDescent="0.25">
      <c r="A284" s="1" t="s">
        <v>8</v>
      </c>
      <c r="B28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hushall-och-kok-koksutrustning-vakuumforpackare-och-tillbehor</v>
      </c>
      <c r="C284" s="3" t="s">
        <v>484</v>
      </c>
      <c r="D284" s="3" t="s">
        <v>22</v>
      </c>
      <c r="E284" s="3" t="s">
        <v>25</v>
      </c>
      <c r="F284" s="3"/>
      <c r="G284" s="4" t="b">
        <v>1</v>
      </c>
      <c r="H284" s="5"/>
      <c r="I284" s="4" t="b">
        <v>1</v>
      </c>
      <c r="J284" s="5"/>
      <c r="K284" s="5"/>
      <c r="L284" s="5"/>
      <c r="M284" s="5"/>
      <c r="N284" s="2" t="str">
        <f>Table1[[#This Row],[Level1]]</f>
        <v>Hushåll &amp; Kök</v>
      </c>
      <c r="O284" s="2" t="str">
        <f>Table1[[#This Row],[Level1]]
&amp;IF(Table1[[#This Row],[Level2]]&lt;&gt;""," &gt; "&amp;Table1[[#This Row],[Level2]],"")</f>
        <v>Hushåll &amp; Kök &gt; Köksutrustning</v>
      </c>
      <c r="P284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Köksutrustning &gt; Vakuumförpackare &amp; tillbehör</v>
      </c>
      <c r="Q284" s="6" t="s">
        <v>787</v>
      </c>
    </row>
    <row r="285" spans="1:17" x14ac:dyDescent="0.25">
      <c r="A285" s="1" t="s">
        <v>8</v>
      </c>
      <c r="B28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hem-och-tradgard-larm-och-sakerhet-barnsakerhet</v>
      </c>
      <c r="C285" s="3" t="s">
        <v>146</v>
      </c>
      <c r="D285" s="3" t="s">
        <v>458</v>
      </c>
      <c r="E285" s="3" t="s">
        <v>153</v>
      </c>
      <c r="F285" s="3"/>
      <c r="G285" s="4" t="b">
        <v>1</v>
      </c>
      <c r="H285" s="5"/>
      <c r="I285" s="4" t="b">
        <v>1</v>
      </c>
      <c r="J285" s="5"/>
      <c r="K285" s="5"/>
      <c r="L285" s="5"/>
      <c r="M285" s="5"/>
      <c r="N285" s="2" t="str">
        <f>Table1[[#This Row],[Level1]]</f>
        <v>Hem &amp; Trädgård</v>
      </c>
      <c r="O285" s="2" t="str">
        <f>Table1[[#This Row],[Level1]]
&amp;IF(Table1[[#This Row],[Level2]]&lt;&gt;""," &gt; "&amp;Table1[[#This Row],[Level2]],"")</f>
        <v>Hem &amp; Trädgård &gt; Larm &amp; säkerhet</v>
      </c>
      <c r="P285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Barnsäkerhet</v>
      </c>
      <c r="Q285" s="6" t="s">
        <v>571</v>
      </c>
    </row>
    <row r="286" spans="1:17" x14ac:dyDescent="0.25">
      <c r="A286" s="1" t="s">
        <v>8</v>
      </c>
      <c r="B28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hem-och-tradgard-larm-och-sakerhet-dorrklockor</v>
      </c>
      <c r="C286" s="3" t="s">
        <v>146</v>
      </c>
      <c r="D286" s="3" t="s">
        <v>458</v>
      </c>
      <c r="E286" s="3" t="s">
        <v>151</v>
      </c>
      <c r="F286" s="3"/>
      <c r="G286" s="4" t="b">
        <v>1</v>
      </c>
      <c r="H286" s="5"/>
      <c r="I286" s="4" t="b">
        <v>1</v>
      </c>
      <c r="J286" s="5"/>
      <c r="K286" s="5"/>
      <c r="L286" s="5"/>
      <c r="M286" s="5"/>
      <c r="N286" s="2" t="str">
        <f>Table1[[#This Row],[Level1]]</f>
        <v>Hem &amp; Trädgård</v>
      </c>
      <c r="O286" s="2" t="str">
        <f>Table1[[#This Row],[Level1]]
&amp;IF(Table1[[#This Row],[Level2]]&lt;&gt;""," &gt; "&amp;Table1[[#This Row],[Level2]],"")</f>
        <v>Hem &amp; Trädgård &gt; Larm &amp; säkerhet</v>
      </c>
      <c r="P286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Dörrklockor</v>
      </c>
      <c r="Q286" s="6" t="s">
        <v>572</v>
      </c>
    </row>
    <row r="287" spans="1:17" x14ac:dyDescent="0.25">
      <c r="A287" s="1" t="s">
        <v>8</v>
      </c>
      <c r="B28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hem-och-tradgard-larm-och-sakerhet-kameraovervakning</v>
      </c>
      <c r="C287" s="3" t="s">
        <v>146</v>
      </c>
      <c r="D287" s="3" t="s">
        <v>458</v>
      </c>
      <c r="E287" s="3" t="s">
        <v>154</v>
      </c>
      <c r="F287" s="3"/>
      <c r="G287" s="4" t="b">
        <v>1</v>
      </c>
      <c r="H287" s="5"/>
      <c r="I287" s="4" t="b">
        <v>1</v>
      </c>
      <c r="J287" s="5"/>
      <c r="K287" s="5"/>
      <c r="L287" s="5"/>
      <c r="M287" s="5"/>
      <c r="N287" s="2" t="str">
        <f>Table1[[#This Row],[Level1]]</f>
        <v>Hem &amp; Trädgård</v>
      </c>
      <c r="O287" s="2" t="str">
        <f>Table1[[#This Row],[Level1]]
&amp;IF(Table1[[#This Row],[Level2]]&lt;&gt;""," &gt; "&amp;Table1[[#This Row],[Level2]],"")</f>
        <v>Hem &amp; Trädgård &gt; Larm &amp; säkerhet</v>
      </c>
      <c r="P287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Kameraövervakning</v>
      </c>
      <c r="Q287" s="6" t="s">
        <v>573</v>
      </c>
    </row>
    <row r="288" spans="1:17" x14ac:dyDescent="0.25">
      <c r="A288" s="1" t="s">
        <v>8</v>
      </c>
      <c r="B28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hem-och-tradgard-larm-och-sakerhet-larm-for-hem-och-fordon</v>
      </c>
      <c r="C288" s="3" t="s">
        <v>146</v>
      </c>
      <c r="D288" s="3" t="s">
        <v>458</v>
      </c>
      <c r="E288" s="3" t="s">
        <v>155</v>
      </c>
      <c r="F288" s="3"/>
      <c r="G288" s="4" t="b">
        <v>1</v>
      </c>
      <c r="H288" s="5"/>
      <c r="I288" s="4" t="b">
        <v>1</v>
      </c>
      <c r="J288" s="5"/>
      <c r="K288" s="5"/>
      <c r="L288" s="5"/>
      <c r="M288" s="5"/>
      <c r="N288" s="2" t="str">
        <f>Table1[[#This Row],[Level1]]</f>
        <v>Hem &amp; Trädgård</v>
      </c>
      <c r="O288" s="2" t="str">
        <f>Table1[[#This Row],[Level1]]
&amp;IF(Table1[[#This Row],[Level2]]&lt;&gt;""," &gt; "&amp;Table1[[#This Row],[Level2]],"")</f>
        <v>Hem &amp; Trädgård &gt; Larm &amp; säkerhet</v>
      </c>
      <c r="P288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Larm för hem &amp; fordon</v>
      </c>
      <c r="Q288" s="6" t="s">
        <v>574</v>
      </c>
    </row>
    <row r="289" spans="1:17" x14ac:dyDescent="0.25">
      <c r="A289" s="1" t="s">
        <v>8</v>
      </c>
      <c r="B28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hem-och-tradgard-larm-och-sakerhet-las-nyckelskap-och-keyfinders</v>
      </c>
      <c r="C289" s="3" t="s">
        <v>146</v>
      </c>
      <c r="D289" s="3" t="s">
        <v>458</v>
      </c>
      <c r="E289" s="3" t="s">
        <v>156</v>
      </c>
      <c r="F289" s="3"/>
      <c r="G289" s="4" t="b">
        <v>1</v>
      </c>
      <c r="H289" s="5"/>
      <c r="I289" s="4" t="b">
        <v>1</v>
      </c>
      <c r="J289" s="5"/>
      <c r="K289" s="5"/>
      <c r="L289" s="5"/>
      <c r="M289" s="5"/>
      <c r="N289" s="2" t="str">
        <f>Table1[[#This Row],[Level1]]</f>
        <v>Hem &amp; Trädgård</v>
      </c>
      <c r="O289" s="2" t="str">
        <f>Table1[[#This Row],[Level1]]
&amp;IF(Table1[[#This Row],[Level2]]&lt;&gt;""," &gt; "&amp;Table1[[#This Row],[Level2]],"")</f>
        <v>Hem &amp; Trädgård &gt; Larm &amp; säkerhet</v>
      </c>
      <c r="P289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Lås, nyckelskåp &amp; keyfinders</v>
      </c>
      <c r="Q289" s="6" t="s">
        <v>575</v>
      </c>
    </row>
    <row r="290" spans="1:17" x14ac:dyDescent="0.25">
      <c r="A290" s="1" t="s">
        <v>8</v>
      </c>
      <c r="B29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hem-och-tradgard-larm-och-sakerhet-overfallslarm-och-sjalvforsvar</v>
      </c>
      <c r="C290" s="3" t="s">
        <v>146</v>
      </c>
      <c r="D290" s="3" t="s">
        <v>458</v>
      </c>
      <c r="E290" s="3" t="s">
        <v>157</v>
      </c>
      <c r="F290" s="3"/>
      <c r="G290" s="4" t="b">
        <v>1</v>
      </c>
      <c r="H290" s="5"/>
      <c r="I290" s="4" t="b">
        <v>1</v>
      </c>
      <c r="J290" s="5"/>
      <c r="K290" s="5"/>
      <c r="L290" s="5"/>
      <c r="M290" s="5"/>
      <c r="N290" s="2" t="str">
        <f>Table1[[#This Row],[Level1]]</f>
        <v>Hem &amp; Trädgård</v>
      </c>
      <c r="O290" s="2" t="str">
        <f>Table1[[#This Row],[Level1]]
&amp;IF(Table1[[#This Row],[Level2]]&lt;&gt;""," &gt; "&amp;Table1[[#This Row],[Level2]],"")</f>
        <v>Hem &amp; Trädgård &gt; Larm &amp; säkerhet</v>
      </c>
      <c r="P290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Överfallslarm &amp; självförsvar</v>
      </c>
      <c r="Q290" s="6" t="s">
        <v>576</v>
      </c>
    </row>
    <row r="291" spans="1:17" x14ac:dyDescent="0.25">
      <c r="A291" s="1" t="s">
        <v>8</v>
      </c>
      <c r="B29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hem-och-tradgard-larm-och-sakerhet-ovriga-sakerhetsprodukter</v>
      </c>
      <c r="C291" s="3" t="s">
        <v>146</v>
      </c>
      <c r="D291" s="3" t="s">
        <v>458</v>
      </c>
      <c r="E291" s="3" t="s">
        <v>419</v>
      </c>
      <c r="F291" s="3"/>
      <c r="G291" s="4" t="b">
        <v>1</v>
      </c>
      <c r="H291" s="5"/>
      <c r="I291" s="4" t="b">
        <v>1</v>
      </c>
      <c r="J291" s="5"/>
      <c r="K291" s="5"/>
      <c r="L291" s="5"/>
      <c r="M291" s="5"/>
      <c r="N291" s="2" t="str">
        <f>Table1[[#This Row],[Level1]]</f>
        <v>Hem &amp; Trädgård</v>
      </c>
      <c r="O291" s="2" t="str">
        <f>Table1[[#This Row],[Level1]]
&amp;IF(Table1[[#This Row],[Level2]]&lt;&gt;""," &gt; "&amp;Table1[[#This Row],[Level2]],"")</f>
        <v>Hem &amp; Trädgård &gt; Larm &amp; säkerhet</v>
      </c>
      <c r="P291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Övriga säkerhetsprodukter</v>
      </c>
      <c r="Q291" s="6" t="s">
        <v>577</v>
      </c>
    </row>
    <row r="292" spans="1:17" x14ac:dyDescent="0.25">
      <c r="A292" s="1" t="s">
        <v>8</v>
      </c>
      <c r="B29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hem-och-tradgard-larm-och-sakerhet-rfid-produkter</v>
      </c>
      <c r="C292" s="3" t="s">
        <v>146</v>
      </c>
      <c r="D292" s="3" t="s">
        <v>458</v>
      </c>
      <c r="E292" s="3" t="s">
        <v>418</v>
      </c>
      <c r="F292" s="3"/>
      <c r="G292" s="4" t="b">
        <v>1</v>
      </c>
      <c r="H292" s="5"/>
      <c r="I292" s="4" t="b">
        <v>1</v>
      </c>
      <c r="J292" s="5"/>
      <c r="K292" s="5"/>
      <c r="L292" s="5"/>
      <c r="M292" s="5"/>
      <c r="N292" s="2" t="str">
        <f>Table1[[#This Row],[Level1]]</f>
        <v>Hem &amp; Trädgård</v>
      </c>
      <c r="O292" s="2" t="str">
        <f>Table1[[#This Row],[Level1]]
&amp;IF(Table1[[#This Row],[Level2]]&lt;&gt;""," &gt; "&amp;Table1[[#This Row],[Level2]],"")</f>
        <v>Hem &amp; Trädgård &gt; Larm &amp; säkerhet</v>
      </c>
      <c r="P292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Rfid-produkter</v>
      </c>
      <c r="Q292" s="6" t="s">
        <v>578</v>
      </c>
    </row>
    <row r="293" spans="1:17" x14ac:dyDescent="0.25">
      <c r="A293" s="1" t="s">
        <v>8</v>
      </c>
      <c r="B29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hem-och-tradgard-larm-och-sakerhet-rorelsesensorer</v>
      </c>
      <c r="C293" s="3" t="s">
        <v>146</v>
      </c>
      <c r="D293" s="3" t="s">
        <v>458</v>
      </c>
      <c r="E293" s="3" t="s">
        <v>152</v>
      </c>
      <c r="F293" s="3"/>
      <c r="G293" s="4" t="b">
        <v>1</v>
      </c>
      <c r="H293" s="5"/>
      <c r="I293" s="4" t="b">
        <v>1</v>
      </c>
      <c r="J293" s="5"/>
      <c r="K293" s="5"/>
      <c r="L293" s="5"/>
      <c r="M293" s="5"/>
      <c r="N293" s="2" t="str">
        <f>Table1[[#This Row],[Level1]]</f>
        <v>Hem &amp; Trädgård</v>
      </c>
      <c r="O293" s="2" t="str">
        <f>Table1[[#This Row],[Level1]]
&amp;IF(Table1[[#This Row],[Level2]]&lt;&gt;""," &gt; "&amp;Table1[[#This Row],[Level2]],"")</f>
        <v>Hem &amp; Trädgård &gt; Larm &amp; säkerhet</v>
      </c>
      <c r="P293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Larm &amp; säkerhet &gt; Rörelsesensorer</v>
      </c>
      <c r="Q293" s="6" t="s">
        <v>579</v>
      </c>
    </row>
    <row r="294" spans="1:17" x14ac:dyDescent="0.25">
      <c r="A294" s="1" t="s">
        <v>8</v>
      </c>
      <c r="B29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hobby-och-lek-leksaker-och-spel-adventskalendrar</v>
      </c>
      <c r="C294" s="3" t="s">
        <v>246</v>
      </c>
      <c r="D294" s="3" t="s">
        <v>465</v>
      </c>
      <c r="E294" s="3" t="s">
        <v>255</v>
      </c>
      <c r="F294" s="3"/>
      <c r="G294" s="4" t="b">
        <v>1</v>
      </c>
      <c r="H294" s="5"/>
      <c r="I294" s="4" t="b">
        <v>1</v>
      </c>
      <c r="J294" s="5"/>
      <c r="K294" s="5"/>
      <c r="L294" s="5"/>
      <c r="M294" s="5"/>
      <c r="N294" s="2" t="str">
        <f>Table1[[#This Row],[Level1]]</f>
        <v>Hobby &amp; Lek</v>
      </c>
      <c r="O294" s="2" t="str">
        <f>Table1[[#This Row],[Level1]]
&amp;IF(Table1[[#This Row],[Level2]]&lt;&gt;""," &gt; "&amp;Table1[[#This Row],[Level2]],"")</f>
        <v>Hobby &amp; Lek &gt; Leksaker &amp; spel</v>
      </c>
      <c r="P294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Adventskalendrar</v>
      </c>
      <c r="Q294" s="6" t="s">
        <v>709</v>
      </c>
    </row>
    <row r="295" spans="1:17" x14ac:dyDescent="0.25">
      <c r="A295" s="1" t="s">
        <v>8</v>
      </c>
      <c r="B29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hobby-och-lek-leksaker-och-spel-aktivitetsleksaker</v>
      </c>
      <c r="C295" s="3" t="s">
        <v>246</v>
      </c>
      <c r="D295" s="3" t="s">
        <v>465</v>
      </c>
      <c r="E295" s="3" t="s">
        <v>251</v>
      </c>
      <c r="F295" s="3"/>
      <c r="G295" s="4" t="b">
        <v>1</v>
      </c>
      <c r="H295" s="5"/>
      <c r="I295" s="4" t="b">
        <v>1</v>
      </c>
      <c r="J295" s="5"/>
      <c r="K295" s="5"/>
      <c r="L295" s="5"/>
      <c r="M295" s="5"/>
      <c r="N295" s="2" t="str">
        <f>Table1[[#This Row],[Level1]]</f>
        <v>Hobby &amp; Lek</v>
      </c>
      <c r="O295" s="2" t="str">
        <f>Table1[[#This Row],[Level1]]
&amp;IF(Table1[[#This Row],[Level2]]&lt;&gt;""," &gt; "&amp;Table1[[#This Row],[Level2]],"")</f>
        <v>Hobby &amp; Lek &gt; Leksaker &amp; spel</v>
      </c>
      <c r="P295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Aktivitetsleksaker</v>
      </c>
      <c r="Q295" s="6" t="s">
        <v>710</v>
      </c>
    </row>
    <row r="296" spans="1:17" x14ac:dyDescent="0.25">
      <c r="A296" s="1" t="s">
        <v>8</v>
      </c>
      <c r="B29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hobby-och-lek-leksaker-och-spel-barnpussel-och-spel</v>
      </c>
      <c r="C296" s="3" t="s">
        <v>246</v>
      </c>
      <c r="D296" s="3" t="s">
        <v>465</v>
      </c>
      <c r="E296" s="3" t="s">
        <v>250</v>
      </c>
      <c r="F296" s="3"/>
      <c r="G296" s="4" t="b">
        <v>1</v>
      </c>
      <c r="H296" s="5"/>
      <c r="I296" s="4" t="b">
        <v>1</v>
      </c>
      <c r="J296" s="5"/>
      <c r="K296" s="5"/>
      <c r="L296" s="5"/>
      <c r="M296" s="5"/>
      <c r="N296" s="2" t="str">
        <f>Table1[[#This Row],[Level1]]</f>
        <v>Hobby &amp; Lek</v>
      </c>
      <c r="O296" s="2" t="str">
        <f>Table1[[#This Row],[Level1]]
&amp;IF(Table1[[#This Row],[Level2]]&lt;&gt;""," &gt; "&amp;Table1[[#This Row],[Level2]],"")</f>
        <v>Hobby &amp; Lek &gt; Leksaker &amp; spel</v>
      </c>
      <c r="P296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Barnpussel &amp; spel</v>
      </c>
      <c r="Q296" s="6" t="s">
        <v>711</v>
      </c>
    </row>
    <row r="297" spans="1:17" x14ac:dyDescent="0.25">
      <c r="A297" s="1" t="s">
        <v>8</v>
      </c>
      <c r="B29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hobby-och-lek-leksaker-och-spel-bilbanor-och-fordonsleksaker</v>
      </c>
      <c r="C297" s="3" t="s">
        <v>246</v>
      </c>
      <c r="D297" s="3" t="s">
        <v>465</v>
      </c>
      <c r="E297" s="3" t="s">
        <v>248</v>
      </c>
      <c r="F297" s="3"/>
      <c r="G297" s="4" t="b">
        <v>1</v>
      </c>
      <c r="H297" s="5"/>
      <c r="I297" s="4" t="b">
        <v>1</v>
      </c>
      <c r="J297" s="5"/>
      <c r="K297" s="5"/>
      <c r="L297" s="5"/>
      <c r="M297" s="5"/>
      <c r="N297" s="2" t="str">
        <f>Table1[[#This Row],[Level1]]</f>
        <v>Hobby &amp; Lek</v>
      </c>
      <c r="O297" s="2" t="str">
        <f>Table1[[#This Row],[Level1]]
&amp;IF(Table1[[#This Row],[Level2]]&lt;&gt;""," &gt; "&amp;Table1[[#This Row],[Level2]],"")</f>
        <v>Hobby &amp; Lek &gt; Leksaker &amp; spel</v>
      </c>
      <c r="P297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Bilbanor &amp; fordonsleksaker</v>
      </c>
      <c r="Q297" s="6" t="s">
        <v>712</v>
      </c>
    </row>
    <row r="298" spans="1:17" x14ac:dyDescent="0.25">
      <c r="A298" s="1" t="s">
        <v>8</v>
      </c>
      <c r="B29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hobby-och-lek-leksaker-och-spel-experimentleksaker-och-larande</v>
      </c>
      <c r="C298" s="3" t="s">
        <v>246</v>
      </c>
      <c r="D298" s="3" t="s">
        <v>465</v>
      </c>
      <c r="E298" s="3" t="s">
        <v>252</v>
      </c>
      <c r="F298" s="3"/>
      <c r="G298" s="4" t="b">
        <v>1</v>
      </c>
      <c r="H298" s="5"/>
      <c r="I298" s="4" t="b">
        <v>1</v>
      </c>
      <c r="J298" s="5"/>
      <c r="K298" s="5"/>
      <c r="L298" s="5"/>
      <c r="M298" s="5"/>
      <c r="N298" s="2" t="str">
        <f>Table1[[#This Row],[Level1]]</f>
        <v>Hobby &amp; Lek</v>
      </c>
      <c r="O298" s="2" t="str">
        <f>Table1[[#This Row],[Level1]]
&amp;IF(Table1[[#This Row],[Level2]]&lt;&gt;""," &gt; "&amp;Table1[[#This Row],[Level2]],"")</f>
        <v>Hobby &amp; Lek &gt; Leksaker &amp; spel</v>
      </c>
      <c r="P298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Experimentleksaker &amp; lärande</v>
      </c>
      <c r="Q298" s="6" t="s">
        <v>713</v>
      </c>
    </row>
    <row r="299" spans="1:17" x14ac:dyDescent="0.25">
      <c r="A299" s="1" t="s">
        <v>8</v>
      </c>
      <c r="B29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hobby-och-lek-leksaker-och-spel-fidget-toys</v>
      </c>
      <c r="C299" s="3" t="s">
        <v>246</v>
      </c>
      <c r="D299" s="3" t="s">
        <v>465</v>
      </c>
      <c r="E299" s="3" t="s">
        <v>253</v>
      </c>
      <c r="F299" s="3"/>
      <c r="G299" s="4" t="b">
        <v>1</v>
      </c>
      <c r="H299" s="5"/>
      <c r="I299" s="4" t="b">
        <v>1</v>
      </c>
      <c r="J299" s="5"/>
      <c r="K299" s="5"/>
      <c r="L299" s="5"/>
      <c r="M299" s="5"/>
      <c r="N299" s="2" t="str">
        <f>Table1[[#This Row],[Level1]]</f>
        <v>Hobby &amp; Lek</v>
      </c>
      <c r="O299" s="2" t="str">
        <f>Table1[[#This Row],[Level1]]
&amp;IF(Table1[[#This Row],[Level2]]&lt;&gt;""," &gt; "&amp;Table1[[#This Row],[Level2]],"")</f>
        <v>Hobby &amp; Lek &gt; Leksaker &amp; spel</v>
      </c>
      <c r="P299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Fidget toys</v>
      </c>
      <c r="Q299" s="6" t="s">
        <v>714</v>
      </c>
    </row>
    <row r="300" spans="1:17" x14ac:dyDescent="0.25">
      <c r="A300" s="1" t="s">
        <v>8</v>
      </c>
      <c r="B30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hobby-och-lek-leksaker-och-spel-figurer-miniatyrer-och-tillbehor</v>
      </c>
      <c r="C300" s="3" t="s">
        <v>246</v>
      </c>
      <c r="D300" s="3" t="s">
        <v>465</v>
      </c>
      <c r="E300" s="3" t="s">
        <v>249</v>
      </c>
      <c r="F300" s="3"/>
      <c r="G300" s="4" t="b">
        <v>1</v>
      </c>
      <c r="H300" s="5"/>
      <c r="I300" s="4" t="b">
        <v>1</v>
      </c>
      <c r="J300" s="5"/>
      <c r="K300" s="5"/>
      <c r="L300" s="5"/>
      <c r="M300" s="5"/>
      <c r="N300" s="2" t="str">
        <f>Table1[[#This Row],[Level1]]</f>
        <v>Hobby &amp; Lek</v>
      </c>
      <c r="O300" s="2" t="str">
        <f>Table1[[#This Row],[Level1]]
&amp;IF(Table1[[#This Row],[Level2]]&lt;&gt;""," &gt; "&amp;Table1[[#This Row],[Level2]],"")</f>
        <v>Hobby &amp; Lek &gt; Leksaker &amp; spel</v>
      </c>
      <c r="P300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Figurer, miniatyrer &amp; tillbehör</v>
      </c>
      <c r="Q300" s="6" t="s">
        <v>715</v>
      </c>
    </row>
    <row r="301" spans="1:17" x14ac:dyDescent="0.25">
      <c r="A301" s="1" t="s">
        <v>8</v>
      </c>
      <c r="B30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hobby-och-lek-leksaker-och-spel-gosedjur-och-dockor</v>
      </c>
      <c r="C301" s="3" t="s">
        <v>246</v>
      </c>
      <c r="D301" s="3" t="s">
        <v>465</v>
      </c>
      <c r="E301" s="3" t="s">
        <v>247</v>
      </c>
      <c r="F301" s="3"/>
      <c r="G301" s="4" t="b">
        <v>1</v>
      </c>
      <c r="H301" s="5"/>
      <c r="I301" s="4" t="b">
        <v>1</v>
      </c>
      <c r="J301" s="5"/>
      <c r="K301" s="5"/>
      <c r="L301" s="5"/>
      <c r="M301" s="5"/>
      <c r="N301" s="2" t="str">
        <f>Table1[[#This Row],[Level1]]</f>
        <v>Hobby &amp; Lek</v>
      </c>
      <c r="O301" s="2" t="str">
        <f>Table1[[#This Row],[Level1]]
&amp;IF(Table1[[#This Row],[Level2]]&lt;&gt;""," &gt; "&amp;Table1[[#This Row],[Level2]],"")</f>
        <v>Hobby &amp; Lek &gt; Leksaker &amp; spel</v>
      </c>
      <c r="P301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Gosedjur &amp; dockor</v>
      </c>
      <c r="Q301" s="6" t="s">
        <v>716</v>
      </c>
    </row>
    <row r="302" spans="1:17" x14ac:dyDescent="0.25">
      <c r="A302" s="1" t="s">
        <v>8</v>
      </c>
      <c r="B30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hobby-och-lek-leksaker-och-spel-maskerad-och-rolleksaker</v>
      </c>
      <c r="C302" s="3" t="s">
        <v>246</v>
      </c>
      <c r="D302" s="3" t="s">
        <v>465</v>
      </c>
      <c r="E302" s="3" t="s">
        <v>254</v>
      </c>
      <c r="F302" s="3"/>
      <c r="G302" s="4" t="b">
        <v>1</v>
      </c>
      <c r="H302" s="5"/>
      <c r="I302" s="4" t="b">
        <v>1</v>
      </c>
      <c r="J302" s="5"/>
      <c r="K302" s="5"/>
      <c r="L302" s="5"/>
      <c r="M302" s="5"/>
      <c r="N302" s="2" t="str">
        <f>Table1[[#This Row],[Level1]]</f>
        <v>Hobby &amp; Lek</v>
      </c>
      <c r="O302" s="2" t="str">
        <f>Table1[[#This Row],[Level1]]
&amp;IF(Table1[[#This Row],[Level2]]&lt;&gt;""," &gt; "&amp;Table1[[#This Row],[Level2]],"")</f>
        <v>Hobby &amp; Lek &gt; Leksaker &amp; spel</v>
      </c>
      <c r="P302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Maskerad &amp; rolleksaker</v>
      </c>
      <c r="Q302" s="6" t="s">
        <v>717</v>
      </c>
    </row>
    <row r="303" spans="1:17" x14ac:dyDescent="0.25">
      <c r="A303" s="1" t="s">
        <v>8</v>
      </c>
      <c r="B30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hobby-och-lek-leksaker-och-spel-ovriga-leksaker</v>
      </c>
      <c r="C303" s="3" t="s">
        <v>246</v>
      </c>
      <c r="D303" s="3" t="s">
        <v>465</v>
      </c>
      <c r="E303" s="3" t="s">
        <v>256</v>
      </c>
      <c r="F303" s="3"/>
      <c r="G303" s="4" t="b">
        <v>1</v>
      </c>
      <c r="H303" s="5"/>
      <c r="I303" s="4" t="b">
        <v>1</v>
      </c>
      <c r="J303" s="5"/>
      <c r="K303" s="5"/>
      <c r="L303" s="5"/>
      <c r="M303" s="5"/>
      <c r="N303" s="2" t="str">
        <f>Table1[[#This Row],[Level1]]</f>
        <v>Hobby &amp; Lek</v>
      </c>
      <c r="O303" s="2" t="str">
        <f>Table1[[#This Row],[Level1]]
&amp;IF(Table1[[#This Row],[Level2]]&lt;&gt;""," &gt; "&amp;Table1[[#This Row],[Level2]],"")</f>
        <v>Hobby &amp; Lek &gt; Leksaker &amp; spel</v>
      </c>
      <c r="P303" s="2" t="str">
        <f>Table1[[#This Row],[Level1]]
&amp;IF(Table1[[#This Row],[Level2]]&lt;&gt;""," &gt; "&amp;Table1[[#This Row],[Level2]],"")
&amp;IF(Table1[[#This Row],[Level3]]&lt;&gt;""," &gt; "&amp;Table1[[#This Row],[Level3]],"")</f>
        <v>Hobby &amp; Lek &gt; Leksaker &amp; spel &gt; Övriga leksaker</v>
      </c>
      <c r="Q303" s="6" t="s">
        <v>718</v>
      </c>
    </row>
    <row r="304" spans="1:17" x14ac:dyDescent="0.25">
      <c r="A304" s="1" t="s">
        <v>8</v>
      </c>
      <c r="B30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halsa-och-skonhet-massage-och-avslappning-akupressur-och-massagemattor</v>
      </c>
      <c r="C304" s="3" t="s">
        <v>14</v>
      </c>
      <c r="D304" s="3" t="s">
        <v>451</v>
      </c>
      <c r="E304" s="3" t="s">
        <v>378</v>
      </c>
      <c r="F304" s="3"/>
      <c r="G304" s="4" t="b">
        <v>1</v>
      </c>
      <c r="H304" s="5"/>
      <c r="I304" s="4" t="b">
        <v>1</v>
      </c>
      <c r="J304" s="5"/>
      <c r="K304" s="5"/>
      <c r="L304" s="5"/>
      <c r="M304" s="5"/>
      <c r="N304" s="2" t="str">
        <f>Table1[[#This Row],[Level1]]</f>
        <v>Hälsa &amp; Skönhet</v>
      </c>
      <c r="O304" s="2" t="str">
        <f>Table1[[#This Row],[Level1]]
&amp;IF(Table1[[#This Row],[Level2]]&lt;&gt;""," &gt; "&amp;Table1[[#This Row],[Level2]],"")</f>
        <v>Hälsa &amp; Skönhet &gt; Massage &amp; avslappning</v>
      </c>
      <c r="P304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Massage &amp; avslappning &gt; Akupressur &amp; massagemattor</v>
      </c>
      <c r="Q304" s="6" t="s">
        <v>541</v>
      </c>
    </row>
    <row r="305" spans="1:17" x14ac:dyDescent="0.25">
      <c r="A305" s="1" t="s">
        <v>8</v>
      </c>
      <c r="B30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halsa-och-skonhet-massage-och-avslappning-ljusterapi</v>
      </c>
      <c r="C305" s="3" t="s">
        <v>14</v>
      </c>
      <c r="D305" s="3" t="s">
        <v>451</v>
      </c>
      <c r="E305" s="3" t="s">
        <v>45</v>
      </c>
      <c r="F305" s="3"/>
      <c r="G305" s="4" t="b">
        <v>1</v>
      </c>
      <c r="H305" s="5"/>
      <c r="I305" s="4" t="b">
        <v>1</v>
      </c>
      <c r="J305" s="5"/>
      <c r="K305" s="5"/>
      <c r="L305" s="5"/>
      <c r="M305" s="5"/>
      <c r="N305" s="2" t="str">
        <f>Table1[[#This Row],[Level1]]</f>
        <v>Hälsa &amp; Skönhet</v>
      </c>
      <c r="O305" s="2" t="str">
        <f>Table1[[#This Row],[Level1]]
&amp;IF(Table1[[#This Row],[Level2]]&lt;&gt;""," &gt; "&amp;Table1[[#This Row],[Level2]],"")</f>
        <v>Hälsa &amp; Skönhet &gt; Massage &amp; avslappning</v>
      </c>
      <c r="P305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Massage &amp; avslappning &gt; Ljusterapi</v>
      </c>
      <c r="Q305" s="6" t="s">
        <v>542</v>
      </c>
    </row>
    <row r="306" spans="1:17" x14ac:dyDescent="0.25">
      <c r="A306" s="1" t="s">
        <v>8</v>
      </c>
      <c r="B30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halsa-och-skonhet-massage-och-avslappning-massage-och-massagepistoler</v>
      </c>
      <c r="C306" s="3" t="s">
        <v>14</v>
      </c>
      <c r="D306" s="3" t="s">
        <v>451</v>
      </c>
      <c r="E306" s="3" t="s">
        <v>376</v>
      </c>
      <c r="F306" s="3"/>
      <c r="G306" s="4" t="b">
        <v>1</v>
      </c>
      <c r="H306" s="5"/>
      <c r="I306" s="4" t="b">
        <v>1</v>
      </c>
      <c r="J306" s="5"/>
      <c r="K306" s="5"/>
      <c r="L306" s="5"/>
      <c r="M306" s="5"/>
      <c r="N306" s="2" t="str">
        <f>Table1[[#This Row],[Level1]]</f>
        <v>Hälsa &amp; Skönhet</v>
      </c>
      <c r="O306" s="2" t="str">
        <f>Table1[[#This Row],[Level1]]
&amp;IF(Table1[[#This Row],[Level2]]&lt;&gt;""," &gt; "&amp;Table1[[#This Row],[Level2]],"")</f>
        <v>Hälsa &amp; Skönhet &gt; Massage &amp; avslappning</v>
      </c>
      <c r="P306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Massage &amp; avslappning &gt; Massage &amp; massagepistoler</v>
      </c>
      <c r="Q306" s="6" t="s">
        <v>543</v>
      </c>
    </row>
    <row r="307" spans="1:17" x14ac:dyDescent="0.25">
      <c r="A307" s="1" t="s">
        <v>8</v>
      </c>
      <c r="B30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halsa-och-skonhet-massage-och-avslappning-rodljusterapi</v>
      </c>
      <c r="C307" s="3" t="s">
        <v>14</v>
      </c>
      <c r="D307" s="3" t="s">
        <v>451</v>
      </c>
      <c r="E307" s="3" t="s">
        <v>46</v>
      </c>
      <c r="F307" s="3"/>
      <c r="G307" s="4" t="b">
        <v>1</v>
      </c>
      <c r="H307" s="5"/>
      <c r="I307" s="4" t="b">
        <v>1</v>
      </c>
      <c r="J307" s="5"/>
      <c r="K307" s="5"/>
      <c r="L307" s="5"/>
      <c r="M307" s="5"/>
      <c r="N307" s="2" t="str">
        <f>Table1[[#This Row],[Level1]]</f>
        <v>Hälsa &amp; Skönhet</v>
      </c>
      <c r="O307" s="2" t="str">
        <f>Table1[[#This Row],[Level1]]
&amp;IF(Table1[[#This Row],[Level2]]&lt;&gt;""," &gt; "&amp;Table1[[#This Row],[Level2]],"")</f>
        <v>Hälsa &amp; Skönhet &gt; Massage &amp; avslappning</v>
      </c>
      <c r="P307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Massage &amp; avslappning &gt; Rödljusterapi</v>
      </c>
      <c r="Q307" s="6" t="s">
        <v>544</v>
      </c>
    </row>
    <row r="308" spans="1:17" x14ac:dyDescent="0.25">
      <c r="A308" s="1" t="s">
        <v>8</v>
      </c>
      <c r="B30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halsa-och-skonhet-massage-och-avslappning-tens-och-muskelstimulering</v>
      </c>
      <c r="C308" s="3" t="s">
        <v>14</v>
      </c>
      <c r="D308" s="3" t="s">
        <v>451</v>
      </c>
      <c r="E308" s="3" t="s">
        <v>375</v>
      </c>
      <c r="F308" s="3"/>
      <c r="G308" s="4" t="b">
        <v>1</v>
      </c>
      <c r="H308" s="5"/>
      <c r="I308" s="4" t="b">
        <v>1</v>
      </c>
      <c r="J308" s="5"/>
      <c r="K308" s="5"/>
      <c r="L308" s="5"/>
      <c r="M308" s="5"/>
      <c r="N308" s="2" t="str">
        <f>Table1[[#This Row],[Level1]]</f>
        <v>Hälsa &amp; Skönhet</v>
      </c>
      <c r="O308" s="2" t="str">
        <f>Table1[[#This Row],[Level1]]
&amp;IF(Table1[[#This Row],[Level2]]&lt;&gt;""," &gt; "&amp;Table1[[#This Row],[Level2]],"")</f>
        <v>Hälsa &amp; Skönhet &gt; Massage &amp; avslappning</v>
      </c>
      <c r="P308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Massage &amp; avslappning &gt; Tens &amp; muskelstimulering</v>
      </c>
      <c r="Q308" s="6" t="s">
        <v>545</v>
      </c>
    </row>
    <row r="309" spans="1:17" x14ac:dyDescent="0.25">
      <c r="A309" s="1" t="s">
        <v>8</v>
      </c>
      <c r="B30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halsa-och-skonhet-massage-och-avslappning-varmefiltar-och-varmebehandling</v>
      </c>
      <c r="C309" s="3" t="s">
        <v>14</v>
      </c>
      <c r="D309" s="3" t="s">
        <v>451</v>
      </c>
      <c r="E309" s="3" t="s">
        <v>377</v>
      </c>
      <c r="F309" s="3"/>
      <c r="G309" s="4" t="b">
        <v>1</v>
      </c>
      <c r="H309" s="5"/>
      <c r="I309" s="4" t="b">
        <v>1</v>
      </c>
      <c r="J309" s="5"/>
      <c r="K309" s="5"/>
      <c r="L309" s="5"/>
      <c r="M309" s="5"/>
      <c r="N309" s="2" t="str">
        <f>Table1[[#This Row],[Level1]]</f>
        <v>Hälsa &amp; Skönhet</v>
      </c>
      <c r="O309" s="2" t="str">
        <f>Table1[[#This Row],[Level1]]
&amp;IF(Table1[[#This Row],[Level2]]&lt;&gt;""," &gt; "&amp;Table1[[#This Row],[Level2]],"")</f>
        <v>Hälsa &amp; Skönhet &gt; Massage &amp; avslappning</v>
      </c>
      <c r="P30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Massage &amp; avslappning &gt; Värmefiltar &amp; värmebehandling</v>
      </c>
      <c r="Q309" s="6" t="s">
        <v>546</v>
      </c>
    </row>
    <row r="310" spans="1:17" x14ac:dyDescent="0.25">
      <c r="A310" s="1" t="s">
        <v>8</v>
      </c>
      <c r="B31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mode-och-accessoarer-mossor-vantar-och-halsdukar-halsdukar</v>
      </c>
      <c r="C310" s="3" t="s">
        <v>288</v>
      </c>
      <c r="D310" s="3" t="s">
        <v>474</v>
      </c>
      <c r="E310" s="3" t="s">
        <v>316</v>
      </c>
      <c r="F310" s="3"/>
      <c r="G310" s="4" t="b">
        <v>1</v>
      </c>
      <c r="H310" s="5"/>
      <c r="I310" s="4" t="b">
        <v>1</v>
      </c>
      <c r="J310" s="5"/>
      <c r="K310" s="5"/>
      <c r="L310" s="5"/>
      <c r="M310" s="5"/>
      <c r="N310" s="2" t="str">
        <f>Table1[[#This Row],[Level1]]</f>
        <v>Mode &amp; Accessoarer</v>
      </c>
      <c r="O310" s="2" t="str">
        <f>Table1[[#This Row],[Level1]]
&amp;IF(Table1[[#This Row],[Level2]]&lt;&gt;""," &gt; "&amp;Table1[[#This Row],[Level2]],"")</f>
        <v>Mode &amp; Accessoarer &gt; Mössor, vantar &amp; halsdukar</v>
      </c>
      <c r="P310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Mössor, vantar &amp; halsdukar &gt; Halsdukar</v>
      </c>
      <c r="Q310" s="6" t="s">
        <v>814</v>
      </c>
    </row>
    <row r="311" spans="1:17" x14ac:dyDescent="0.25">
      <c r="A311" s="1" t="s">
        <v>8</v>
      </c>
      <c r="B31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mode-och-accessoarer-mossor-vantar-och-halsdukar-mossor-och-kepsar</v>
      </c>
      <c r="C311" s="3" t="s">
        <v>288</v>
      </c>
      <c r="D311" s="3" t="s">
        <v>474</v>
      </c>
      <c r="E311" s="3" t="s">
        <v>444</v>
      </c>
      <c r="F311" s="3"/>
      <c r="G311" s="4" t="b">
        <v>1</v>
      </c>
      <c r="H311" s="5"/>
      <c r="I311" s="4" t="b">
        <v>1</v>
      </c>
      <c r="J311" s="5"/>
      <c r="K311" s="5"/>
      <c r="L311" s="5"/>
      <c r="M311" s="5"/>
      <c r="N311" s="2" t="str">
        <f>Table1[[#This Row],[Level1]]</f>
        <v>Mode &amp; Accessoarer</v>
      </c>
      <c r="O311" s="2" t="str">
        <f>Table1[[#This Row],[Level1]]
&amp;IF(Table1[[#This Row],[Level2]]&lt;&gt;""," &gt; "&amp;Table1[[#This Row],[Level2]],"")</f>
        <v>Mode &amp; Accessoarer &gt; Mössor, vantar &amp; halsdukar</v>
      </c>
      <c r="P311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Mössor, vantar &amp; halsdukar &gt; Mössor &amp; kepsar</v>
      </c>
      <c r="Q311" s="6" t="s">
        <v>815</v>
      </c>
    </row>
    <row r="312" spans="1:17" x14ac:dyDescent="0.25">
      <c r="A312" s="1" t="s">
        <v>8</v>
      </c>
      <c r="B31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mode-och-accessoarer-mossor-vantar-och-halsdukar-vantar-och-handskar</v>
      </c>
      <c r="C312" s="3" t="s">
        <v>288</v>
      </c>
      <c r="D312" s="3" t="s">
        <v>474</v>
      </c>
      <c r="E312" s="3" t="s">
        <v>315</v>
      </c>
      <c r="F312" s="3"/>
      <c r="G312" s="4" t="b">
        <v>1</v>
      </c>
      <c r="H312" s="5"/>
      <c r="I312" s="4" t="b">
        <v>1</v>
      </c>
      <c r="J312" s="5"/>
      <c r="K312" s="5"/>
      <c r="L312" s="5"/>
      <c r="M312" s="5"/>
      <c r="N312" s="2" t="str">
        <f>Table1[[#This Row],[Level1]]</f>
        <v>Mode &amp; Accessoarer</v>
      </c>
      <c r="O312" s="2" t="str">
        <f>Table1[[#This Row],[Level1]]
&amp;IF(Table1[[#This Row],[Level2]]&lt;&gt;""," &gt; "&amp;Table1[[#This Row],[Level2]],"")</f>
        <v>Mode &amp; Accessoarer &gt; Mössor, vantar &amp; halsdukar</v>
      </c>
      <c r="P31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Mössor, vantar &amp; halsdukar &gt; Vantar &amp; handskar</v>
      </c>
      <c r="Q312" s="6" t="s">
        <v>816</v>
      </c>
    </row>
    <row r="313" spans="1:17" x14ac:dyDescent="0.25">
      <c r="A313" s="1" t="s">
        <v>8</v>
      </c>
      <c r="B31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fordon-motorcykeltillbehor-bluetooth-motorcykel</v>
      </c>
      <c r="C313" s="3" t="s">
        <v>80</v>
      </c>
      <c r="D313" s="3" t="s">
        <v>100</v>
      </c>
      <c r="E313" s="3" t="s">
        <v>400</v>
      </c>
      <c r="F313" s="3"/>
      <c r="G313" s="4" t="b">
        <v>1</v>
      </c>
      <c r="H313" s="5"/>
      <c r="I313" s="4" t="b">
        <v>1</v>
      </c>
      <c r="J313" s="5"/>
      <c r="K313" s="5"/>
      <c r="L313" s="5"/>
      <c r="M313" s="5"/>
      <c r="N313" s="2" t="str">
        <f>Table1[[#This Row],[Level1]]</f>
        <v>Fordon</v>
      </c>
      <c r="O313" s="2" t="str">
        <f>Table1[[#This Row],[Level1]]
&amp;IF(Table1[[#This Row],[Level2]]&lt;&gt;""," &gt; "&amp;Table1[[#This Row],[Level2]],"")</f>
        <v>Fordon &gt; Motorcykeltillbehör</v>
      </c>
      <c r="P313" s="2" t="str">
        <f>Table1[[#This Row],[Level1]]
&amp;IF(Table1[[#This Row],[Level2]]&lt;&gt;""," &gt; "&amp;Table1[[#This Row],[Level2]],"")
&amp;IF(Table1[[#This Row],[Level3]]&lt;&gt;""," &gt; "&amp;Table1[[#This Row],[Level3]],"")</f>
        <v>Fordon &gt; Motorcykeltillbehör &gt; Bluetooth motorcykel</v>
      </c>
      <c r="Q313" s="6" t="s">
        <v>518</v>
      </c>
    </row>
    <row r="314" spans="1:17" x14ac:dyDescent="0.25">
      <c r="A314" s="1" t="s">
        <v>8</v>
      </c>
      <c r="B31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fordon-motorcykeltillbehor-mobilhallare-och-fasten</v>
      </c>
      <c r="C314" s="3" t="s">
        <v>80</v>
      </c>
      <c r="D314" s="3" t="s">
        <v>100</v>
      </c>
      <c r="E314" s="3" t="s">
        <v>401</v>
      </c>
      <c r="F314" s="3"/>
      <c r="G314" s="4" t="b">
        <v>1</v>
      </c>
      <c r="H314" s="5"/>
      <c r="I314" s="4" t="b">
        <v>1</v>
      </c>
      <c r="J314" s="5"/>
      <c r="K314" s="5"/>
      <c r="L314" s="5"/>
      <c r="M314" s="5"/>
      <c r="N314" s="2" t="str">
        <f>Table1[[#This Row],[Level1]]</f>
        <v>Fordon</v>
      </c>
      <c r="O314" s="2" t="str">
        <f>Table1[[#This Row],[Level1]]
&amp;IF(Table1[[#This Row],[Level2]]&lt;&gt;""," &gt; "&amp;Table1[[#This Row],[Level2]],"")</f>
        <v>Fordon &gt; Motorcykeltillbehör</v>
      </c>
      <c r="P314" s="2" t="str">
        <f>Table1[[#This Row],[Level1]]
&amp;IF(Table1[[#This Row],[Level2]]&lt;&gt;""," &gt; "&amp;Table1[[#This Row],[Level2]],"")
&amp;IF(Table1[[#This Row],[Level3]]&lt;&gt;""," &gt; "&amp;Table1[[#This Row],[Level3]],"")</f>
        <v>Fordon &gt; Motorcykeltillbehör &gt; Mobilhållare &amp; fästen</v>
      </c>
      <c r="Q314" s="6" t="s">
        <v>519</v>
      </c>
    </row>
    <row r="315" spans="1:17" x14ac:dyDescent="0.25">
      <c r="A315" s="1" t="s">
        <v>8</v>
      </c>
      <c r="B31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fordon-motorcykeltillbehor-ovriga-motorcykeltillbehor</v>
      </c>
      <c r="C315" s="3" t="s">
        <v>80</v>
      </c>
      <c r="D315" s="3" t="s">
        <v>100</v>
      </c>
      <c r="E315" s="3" t="s">
        <v>402</v>
      </c>
      <c r="F315" s="3"/>
      <c r="G315" s="4" t="b">
        <v>1</v>
      </c>
      <c r="H315" s="5"/>
      <c r="I315" s="4" t="b">
        <v>1</v>
      </c>
      <c r="J315" s="5"/>
      <c r="K315" s="5"/>
      <c r="L315" s="5"/>
      <c r="M315" s="5"/>
      <c r="N315" s="2" t="str">
        <f>Table1[[#This Row],[Level1]]</f>
        <v>Fordon</v>
      </c>
      <c r="O315" s="2" t="str">
        <f>Table1[[#This Row],[Level1]]
&amp;IF(Table1[[#This Row],[Level2]]&lt;&gt;""," &gt; "&amp;Table1[[#This Row],[Level2]],"")</f>
        <v>Fordon &gt; Motorcykeltillbehör</v>
      </c>
      <c r="P315" s="2" t="str">
        <f>Table1[[#This Row],[Level1]]
&amp;IF(Table1[[#This Row],[Level2]]&lt;&gt;""," &gt; "&amp;Table1[[#This Row],[Level2]],"")
&amp;IF(Table1[[#This Row],[Level3]]&lt;&gt;""," &gt; "&amp;Table1[[#This Row],[Level3]],"")</f>
        <v>Fordon &gt; Motorcykeltillbehör &gt; Övriga motorcykeltillbehör</v>
      </c>
      <c r="Q315" s="6" t="s">
        <v>520</v>
      </c>
    </row>
    <row r="316" spans="1:17" x14ac:dyDescent="0.25">
      <c r="A316" s="1" t="s">
        <v>8</v>
      </c>
      <c r="B31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fordon-motorcykeltillbehor-personlig-utrustning</v>
      </c>
      <c r="C316" s="3" t="s">
        <v>80</v>
      </c>
      <c r="D316" s="3" t="s">
        <v>100</v>
      </c>
      <c r="E316" s="3" t="s">
        <v>101</v>
      </c>
      <c r="F316" s="3"/>
      <c r="G316" s="4" t="b">
        <v>1</v>
      </c>
      <c r="H316" s="5"/>
      <c r="I316" s="4" t="b">
        <v>1</v>
      </c>
      <c r="J316" s="5"/>
      <c r="K316" s="5"/>
      <c r="L316" s="5"/>
      <c r="M316" s="5"/>
      <c r="N316" s="2" t="str">
        <f>Table1[[#This Row],[Level1]]</f>
        <v>Fordon</v>
      </c>
      <c r="O316" s="2" t="str">
        <f>Table1[[#This Row],[Level1]]
&amp;IF(Table1[[#This Row],[Level2]]&lt;&gt;""," &gt; "&amp;Table1[[#This Row],[Level2]],"")</f>
        <v>Fordon &gt; Motorcykeltillbehör</v>
      </c>
      <c r="P316" s="2" t="str">
        <f>Table1[[#This Row],[Level1]]
&amp;IF(Table1[[#This Row],[Level2]]&lt;&gt;""," &gt; "&amp;Table1[[#This Row],[Level2]],"")
&amp;IF(Table1[[#This Row],[Level3]]&lt;&gt;""," &gt; "&amp;Table1[[#This Row],[Level3]],"")</f>
        <v>Fordon &gt; Motorcykeltillbehör &gt; Personlig utrustning</v>
      </c>
      <c r="Q316" s="6" t="s">
        <v>521</v>
      </c>
    </row>
    <row r="317" spans="1:17" x14ac:dyDescent="0.25">
      <c r="A317" s="1" t="s">
        <v>8</v>
      </c>
      <c r="B31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fordon-motorcykeltillbehor-skydd-och-kapell</v>
      </c>
      <c r="C317" s="3" t="s">
        <v>80</v>
      </c>
      <c r="D317" s="3" t="s">
        <v>100</v>
      </c>
      <c r="E317" s="3" t="s">
        <v>399</v>
      </c>
      <c r="F317" s="3"/>
      <c r="G317" s="4" t="b">
        <v>1</v>
      </c>
      <c r="H317" s="5"/>
      <c r="I317" s="4" t="b">
        <v>1</v>
      </c>
      <c r="J317" s="5"/>
      <c r="K317" s="5"/>
      <c r="L317" s="5"/>
      <c r="M317" s="5"/>
      <c r="N317" s="2" t="str">
        <f>Table1[[#This Row],[Level1]]</f>
        <v>Fordon</v>
      </c>
      <c r="O317" s="2" t="str">
        <f>Table1[[#This Row],[Level1]]
&amp;IF(Table1[[#This Row],[Level2]]&lt;&gt;""," &gt; "&amp;Table1[[#This Row],[Level2]],"")</f>
        <v>Fordon &gt; Motorcykeltillbehör</v>
      </c>
      <c r="P317" s="2" t="str">
        <f>Table1[[#This Row],[Level1]]
&amp;IF(Table1[[#This Row],[Level2]]&lt;&gt;""," &gt; "&amp;Table1[[#This Row],[Level2]],"")
&amp;IF(Table1[[#This Row],[Level3]]&lt;&gt;""," &gt; "&amp;Table1[[#This Row],[Level3]],"")</f>
        <v>Fordon &gt; Motorcykeltillbehör &gt; Skydd &amp; kapell</v>
      </c>
      <c r="Q317" s="6" t="s">
        <v>522</v>
      </c>
    </row>
    <row r="318" spans="1:17" x14ac:dyDescent="0.25">
      <c r="A318" s="1" t="s">
        <v>8</v>
      </c>
      <c r="B31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halsa-och-skonhet-munhygien-borsthuvuden-och-tillbehor</v>
      </c>
      <c r="C318" s="3" t="s">
        <v>14</v>
      </c>
      <c r="D318" s="3" t="s">
        <v>42</v>
      </c>
      <c r="E318" s="3" t="s">
        <v>373</v>
      </c>
      <c r="F318" s="3"/>
      <c r="G318" s="4" t="b">
        <v>1</v>
      </c>
      <c r="H318" s="5"/>
      <c r="I318" s="4" t="b">
        <v>1</v>
      </c>
      <c r="J318" s="5"/>
      <c r="K318" s="5"/>
      <c r="L318" s="5"/>
      <c r="M318" s="5"/>
      <c r="N318" s="2" t="str">
        <f>Table1[[#This Row],[Level1]]</f>
        <v>Hälsa &amp; Skönhet</v>
      </c>
      <c r="O318" s="2" t="str">
        <f>Table1[[#This Row],[Level1]]
&amp;IF(Table1[[#This Row],[Level2]]&lt;&gt;""," &gt; "&amp;Table1[[#This Row],[Level2]],"")</f>
        <v>Hälsa &amp; Skönhet &gt; Munhygien</v>
      </c>
      <c r="P318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Munhygien &gt; Borsthuvuden &amp; tillbehör</v>
      </c>
      <c r="Q318" s="6" t="s">
        <v>547</v>
      </c>
    </row>
    <row r="319" spans="1:17" x14ac:dyDescent="0.25">
      <c r="A319" s="1" t="s">
        <v>8</v>
      </c>
      <c r="B31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halsa-och-skonhet-munhygien-tandborstar-och-eltandborstar</v>
      </c>
      <c r="C319" s="3" t="s">
        <v>14</v>
      </c>
      <c r="D319" s="3" t="s">
        <v>42</v>
      </c>
      <c r="E319" s="3" t="s">
        <v>374</v>
      </c>
      <c r="F319" s="3"/>
      <c r="G319" s="4" t="b">
        <v>1</v>
      </c>
      <c r="H319" s="5"/>
      <c r="I319" s="4" t="b">
        <v>1</v>
      </c>
      <c r="J319" s="5"/>
      <c r="K319" s="5"/>
      <c r="L319" s="5"/>
      <c r="M319" s="5"/>
      <c r="N319" s="2" t="str">
        <f>Table1[[#This Row],[Level1]]</f>
        <v>Hälsa &amp; Skönhet</v>
      </c>
      <c r="O319" s="2" t="str">
        <f>Table1[[#This Row],[Level1]]
&amp;IF(Table1[[#This Row],[Level2]]&lt;&gt;""," &gt; "&amp;Table1[[#This Row],[Level2]],"")</f>
        <v>Hälsa &amp; Skönhet &gt; Munhygien</v>
      </c>
      <c r="P31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Munhygien &gt; Tandborstar &amp; eltandborstar</v>
      </c>
      <c r="Q319" s="6" t="s">
        <v>548</v>
      </c>
    </row>
    <row r="320" spans="1:17" x14ac:dyDescent="0.25">
      <c r="A320" s="1" t="s">
        <v>8</v>
      </c>
      <c r="B32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halsa-och-skonhet-munhygien-tandvard</v>
      </c>
      <c r="C320" s="3" t="s">
        <v>14</v>
      </c>
      <c r="D320" s="3" t="s">
        <v>42</v>
      </c>
      <c r="E320" s="3" t="s">
        <v>44</v>
      </c>
      <c r="F320" s="3"/>
      <c r="G320" s="4" t="b">
        <v>1</v>
      </c>
      <c r="H320" s="5"/>
      <c r="I320" s="4" t="b">
        <v>1</v>
      </c>
      <c r="J320" s="5"/>
      <c r="K320" s="5"/>
      <c r="L320" s="5"/>
      <c r="M320" s="5"/>
      <c r="N320" s="2" t="str">
        <f>Table1[[#This Row],[Level1]]</f>
        <v>Hälsa &amp; Skönhet</v>
      </c>
      <c r="O320" s="2" t="str">
        <f>Table1[[#This Row],[Level1]]
&amp;IF(Table1[[#This Row],[Level2]]&lt;&gt;""," &gt; "&amp;Table1[[#This Row],[Level2]],"")</f>
        <v>Hälsa &amp; Skönhet &gt; Munhygien</v>
      </c>
      <c r="P320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Munhygien &gt; Tandvård</v>
      </c>
      <c r="Q320" s="6" t="s">
        <v>549</v>
      </c>
    </row>
    <row r="321" spans="1:17" x14ac:dyDescent="0.25">
      <c r="A321" s="1" t="s">
        <v>8</v>
      </c>
      <c r="B32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halsa-och-skonhet-munhygien-whiteningprodukter</v>
      </c>
      <c r="C321" s="3" t="s">
        <v>14</v>
      </c>
      <c r="D321" s="3" t="s">
        <v>42</v>
      </c>
      <c r="E321" s="3" t="s">
        <v>43</v>
      </c>
      <c r="F321" s="3"/>
      <c r="G321" s="4" t="b">
        <v>1</v>
      </c>
      <c r="H321" s="5"/>
      <c r="I321" s="4" t="b">
        <v>1</v>
      </c>
      <c r="J321" s="5"/>
      <c r="K321" s="5"/>
      <c r="L321" s="5"/>
      <c r="M321" s="5"/>
      <c r="N321" s="2" t="str">
        <f>Table1[[#This Row],[Level1]]</f>
        <v>Hälsa &amp; Skönhet</v>
      </c>
      <c r="O321" s="2" t="str">
        <f>Table1[[#This Row],[Level1]]
&amp;IF(Table1[[#This Row],[Level2]]&lt;&gt;""," &gt; "&amp;Table1[[#This Row],[Level2]],"")</f>
        <v>Hälsa &amp; Skönhet &gt; Munhygien</v>
      </c>
      <c r="P321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Munhygien &gt; Whiteningprodukter</v>
      </c>
      <c r="Q321" s="6" t="s">
        <v>550</v>
      </c>
    </row>
    <row r="322" spans="1:17" x14ac:dyDescent="0.25">
      <c r="A322" s="1" t="s">
        <v>8</v>
      </c>
      <c r="B32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hobby-och-lek-musik-och-sang-ljud-och-sangleksaker</v>
      </c>
      <c r="C322" s="3" t="s">
        <v>246</v>
      </c>
      <c r="D322" s="3" t="s">
        <v>468</v>
      </c>
      <c r="E322" s="3" t="s">
        <v>271</v>
      </c>
      <c r="F322" s="3"/>
      <c r="G322" s="4" t="b">
        <v>1</v>
      </c>
      <c r="H322" s="5"/>
      <c r="I322" s="4" t="b">
        <v>1</v>
      </c>
      <c r="J322" s="5"/>
      <c r="K322" s="5"/>
      <c r="L322" s="5"/>
      <c r="M322" s="5"/>
      <c r="N322" s="2" t="str">
        <f>Table1[[#This Row],[Level1]]</f>
        <v>Hobby &amp; Lek</v>
      </c>
      <c r="O322" s="2" t="str">
        <f>Table1[[#This Row],[Level1]]
&amp;IF(Table1[[#This Row],[Level2]]&lt;&gt;""," &gt; "&amp;Table1[[#This Row],[Level2]],"")</f>
        <v>Hobby &amp; Lek &gt; Musik &amp; sång</v>
      </c>
      <c r="P322" s="2" t="str">
        <f>Table1[[#This Row],[Level1]]
&amp;IF(Table1[[#This Row],[Level2]]&lt;&gt;""," &gt; "&amp;Table1[[#This Row],[Level2]],"")
&amp;IF(Table1[[#This Row],[Level3]]&lt;&gt;""," &gt; "&amp;Table1[[#This Row],[Level3]],"")</f>
        <v>Hobby &amp; Lek &gt; Musik &amp; sång &gt; Ljud &amp; sångleksaker</v>
      </c>
      <c r="Q322" s="6" t="s">
        <v>719</v>
      </c>
    </row>
    <row r="323" spans="1:17" x14ac:dyDescent="0.25">
      <c r="A323" s="1" t="s">
        <v>8</v>
      </c>
      <c r="B32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hobby-och-lek-musik-och-sang-musikinstrument</v>
      </c>
      <c r="C323" s="3" t="s">
        <v>246</v>
      </c>
      <c r="D323" s="3" t="s">
        <v>468</v>
      </c>
      <c r="E323" s="3" t="s">
        <v>269</v>
      </c>
      <c r="F323" s="3"/>
      <c r="G323" s="4" t="b">
        <v>1</v>
      </c>
      <c r="H323" s="5"/>
      <c r="I323" s="4" t="b">
        <v>1</v>
      </c>
      <c r="J323" s="5"/>
      <c r="K323" s="5"/>
      <c r="L323" s="5"/>
      <c r="M323" s="5"/>
      <c r="N323" s="2" t="str">
        <f>Table1[[#This Row],[Level1]]</f>
        <v>Hobby &amp; Lek</v>
      </c>
      <c r="O323" s="2" t="str">
        <f>Table1[[#This Row],[Level1]]
&amp;IF(Table1[[#This Row],[Level2]]&lt;&gt;""," &gt; "&amp;Table1[[#This Row],[Level2]],"")</f>
        <v>Hobby &amp; Lek &gt; Musik &amp; sång</v>
      </c>
      <c r="P323" s="2" t="str">
        <f>Table1[[#This Row],[Level1]]
&amp;IF(Table1[[#This Row],[Level2]]&lt;&gt;""," &gt; "&amp;Table1[[#This Row],[Level2]],"")
&amp;IF(Table1[[#This Row],[Level3]]&lt;&gt;""," &gt; "&amp;Table1[[#This Row],[Level3]],"")</f>
        <v>Hobby &amp; Lek &gt; Musik &amp; sång &gt; Musikinstrument</v>
      </c>
      <c r="Q323" s="6" t="s">
        <v>720</v>
      </c>
    </row>
    <row r="324" spans="1:17" x14ac:dyDescent="0.25">
      <c r="A324" s="1" t="s">
        <v>8</v>
      </c>
      <c r="B32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hobby-och-lek-musik-och-sang-musiktillbehor</v>
      </c>
      <c r="C324" s="3" t="s">
        <v>246</v>
      </c>
      <c r="D324" s="3" t="s">
        <v>468</v>
      </c>
      <c r="E324" s="3" t="s">
        <v>270</v>
      </c>
      <c r="F324" s="3"/>
      <c r="G324" s="4" t="b">
        <v>1</v>
      </c>
      <c r="H324" s="5"/>
      <c r="I324" s="4" t="b">
        <v>1</v>
      </c>
      <c r="J324" s="5"/>
      <c r="K324" s="5"/>
      <c r="L324" s="5"/>
      <c r="M324" s="5"/>
      <c r="N324" s="2" t="str">
        <f>Table1[[#This Row],[Level1]]</f>
        <v>Hobby &amp; Lek</v>
      </c>
      <c r="O324" s="2" t="str">
        <f>Table1[[#This Row],[Level1]]
&amp;IF(Table1[[#This Row],[Level2]]&lt;&gt;""," &gt; "&amp;Table1[[#This Row],[Level2]],"")</f>
        <v>Hobby &amp; Lek &gt; Musik &amp; sång</v>
      </c>
      <c r="P324" s="2" t="str">
        <f>Table1[[#This Row],[Level1]]
&amp;IF(Table1[[#This Row],[Level2]]&lt;&gt;""," &gt; "&amp;Table1[[#This Row],[Level2]],"")
&amp;IF(Table1[[#This Row],[Level3]]&lt;&gt;""," &gt; "&amp;Table1[[#This Row],[Level3]],"")</f>
        <v>Hobby &amp; Lek &gt; Musik &amp; sång &gt; Musiktillbehör</v>
      </c>
      <c r="Q324" s="6" t="s">
        <v>721</v>
      </c>
    </row>
    <row r="325" spans="1:17" x14ac:dyDescent="0.25">
      <c r="A325" s="1" t="s">
        <v>8</v>
      </c>
      <c r="B32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hem-och-tradgard-odling-och-tradgard-bevattning</v>
      </c>
      <c r="C325" s="3" t="s">
        <v>146</v>
      </c>
      <c r="D325" s="3" t="s">
        <v>460</v>
      </c>
      <c r="E325" s="3" t="s">
        <v>172</v>
      </c>
      <c r="F325" s="3"/>
      <c r="G325" s="4" t="b">
        <v>1</v>
      </c>
      <c r="H325" s="5"/>
      <c r="I325" s="4" t="b">
        <v>1</v>
      </c>
      <c r="J325" s="5"/>
      <c r="K325" s="5"/>
      <c r="L325" s="5"/>
      <c r="M325" s="5"/>
      <c r="N325" s="2" t="str">
        <f>Table1[[#This Row],[Level1]]</f>
        <v>Hem &amp; Trädgård</v>
      </c>
      <c r="O325" s="2" t="str">
        <f>Table1[[#This Row],[Level1]]
&amp;IF(Table1[[#This Row],[Level2]]&lt;&gt;""," &gt; "&amp;Table1[[#This Row],[Level2]],"")</f>
        <v>Hem &amp; Trädgård &gt; Odling &amp; trädgård</v>
      </c>
      <c r="P325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 &gt; Bevattning</v>
      </c>
      <c r="Q325" s="6" t="s">
        <v>580</v>
      </c>
    </row>
    <row r="326" spans="1:17" x14ac:dyDescent="0.25">
      <c r="A326" s="1" t="s">
        <v>8</v>
      </c>
      <c r="B32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hem-och-tradgard-odling-och-tradgard-fagelholkar-och-insektshotell</v>
      </c>
      <c r="C326" s="3" t="s">
        <v>146</v>
      </c>
      <c r="D326" s="3" t="s">
        <v>460</v>
      </c>
      <c r="E326" s="3" t="s">
        <v>422</v>
      </c>
      <c r="F326" s="3"/>
      <c r="G326" s="4" t="b">
        <v>1</v>
      </c>
      <c r="H326" s="5"/>
      <c r="I326" s="4" t="b">
        <v>1</v>
      </c>
      <c r="J326" s="5"/>
      <c r="K326" s="5"/>
      <c r="L326" s="5"/>
      <c r="M326" s="5"/>
      <c r="N326" s="2" t="str">
        <f>Table1[[#This Row],[Level1]]</f>
        <v>Hem &amp; Trädgård</v>
      </c>
      <c r="O326" s="2" t="str">
        <f>Table1[[#This Row],[Level1]]
&amp;IF(Table1[[#This Row],[Level2]]&lt;&gt;""," &gt; "&amp;Table1[[#This Row],[Level2]],"")</f>
        <v>Hem &amp; Trädgård &gt; Odling &amp; trädgård</v>
      </c>
      <c r="P326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 &gt; Fågelholkar &amp; insektshotell</v>
      </c>
      <c r="Q326" s="6" t="s">
        <v>581</v>
      </c>
    </row>
    <row r="327" spans="1:17" x14ac:dyDescent="0.25">
      <c r="A327" s="1" t="s">
        <v>8</v>
      </c>
      <c r="B32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hem-och-tradgard-odling-och-tradgard-mat-och-testverktyg</v>
      </c>
      <c r="C327" s="3" t="s">
        <v>146</v>
      </c>
      <c r="D327" s="3" t="s">
        <v>460</v>
      </c>
      <c r="E327" s="3" t="s">
        <v>174</v>
      </c>
      <c r="F327" s="3"/>
      <c r="G327" s="4" t="b">
        <v>1</v>
      </c>
      <c r="H327" s="5"/>
      <c r="I327" s="4" t="b">
        <v>1</v>
      </c>
      <c r="J327" s="5"/>
      <c r="K327" s="5"/>
      <c r="L327" s="5"/>
      <c r="M327" s="5"/>
      <c r="N327" s="2" t="str">
        <f>Table1[[#This Row],[Level1]]</f>
        <v>Hem &amp; Trädgård</v>
      </c>
      <c r="O327" s="2" t="str">
        <f>Table1[[#This Row],[Level1]]
&amp;IF(Table1[[#This Row],[Level2]]&lt;&gt;""," &gt; "&amp;Table1[[#This Row],[Level2]],"")</f>
        <v>Hem &amp; Trädgård &gt; Odling &amp; trädgård</v>
      </c>
      <c r="P327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 &gt; Mät- &amp; testverktyg</v>
      </c>
      <c r="Q327" s="6" t="s">
        <v>582</v>
      </c>
    </row>
    <row r="328" spans="1:17" x14ac:dyDescent="0.25">
      <c r="A328" s="1" t="s">
        <v>8</v>
      </c>
      <c r="B32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hem-och-tradgard-odling-och-tradgard-ograsbekampning</v>
      </c>
      <c r="C328" s="3" t="s">
        <v>146</v>
      </c>
      <c r="D328" s="3" t="s">
        <v>460</v>
      </c>
      <c r="E328" s="3" t="s">
        <v>173</v>
      </c>
      <c r="F328" s="3"/>
      <c r="G328" s="4" t="b">
        <v>1</v>
      </c>
      <c r="H328" s="5"/>
      <c r="I328" s="4" t="b">
        <v>1</v>
      </c>
      <c r="J328" s="5"/>
      <c r="K328" s="5"/>
      <c r="L328" s="5"/>
      <c r="M328" s="5"/>
      <c r="N328" s="2" t="str">
        <f>Table1[[#This Row],[Level1]]</f>
        <v>Hem &amp; Trädgård</v>
      </c>
      <c r="O328" s="2" t="str">
        <f>Table1[[#This Row],[Level1]]
&amp;IF(Table1[[#This Row],[Level2]]&lt;&gt;""," &gt; "&amp;Table1[[#This Row],[Level2]],"")</f>
        <v>Hem &amp; Trädgård &gt; Odling &amp; trädgård</v>
      </c>
      <c r="P328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 &gt; Ogräsbekämpning</v>
      </c>
      <c r="Q328" s="6" t="s">
        <v>583</v>
      </c>
    </row>
    <row r="329" spans="1:17" x14ac:dyDescent="0.25">
      <c r="A329" s="1" t="s">
        <v>8</v>
      </c>
      <c r="B32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hem-och-tradgard-odling-och-tradgard-ovriga-tradgardsprylar</v>
      </c>
      <c r="C329" s="3" t="s">
        <v>146</v>
      </c>
      <c r="D329" s="3" t="s">
        <v>460</v>
      </c>
      <c r="E329" s="3" t="s">
        <v>176</v>
      </c>
      <c r="F329" s="3"/>
      <c r="G329" s="4" t="b">
        <v>1</v>
      </c>
      <c r="H329" s="5"/>
      <c r="I329" s="4" t="b">
        <v>1</v>
      </c>
      <c r="J329" s="5"/>
      <c r="K329" s="5"/>
      <c r="L329" s="5"/>
      <c r="M329" s="5"/>
      <c r="N329" s="2" t="str">
        <f>Table1[[#This Row],[Level1]]</f>
        <v>Hem &amp; Trädgård</v>
      </c>
      <c r="O329" s="2" t="str">
        <f>Table1[[#This Row],[Level1]]
&amp;IF(Table1[[#This Row],[Level2]]&lt;&gt;""," &gt; "&amp;Table1[[#This Row],[Level2]],"")</f>
        <v>Hem &amp; Trädgård &gt; Odling &amp; trädgård</v>
      </c>
      <c r="P329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 &gt; Övriga trädgårdsprylar</v>
      </c>
      <c r="Q329" s="6" t="s">
        <v>584</v>
      </c>
    </row>
    <row r="330" spans="1:17" x14ac:dyDescent="0.25">
      <c r="A330" s="1" t="s">
        <v>8</v>
      </c>
      <c r="B33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hem-och-tradgard-odling-och-tradgard-reservdelar-tradgardsmaskiner</v>
      </c>
      <c r="C330" s="3" t="s">
        <v>146</v>
      </c>
      <c r="D330" s="3" t="s">
        <v>460</v>
      </c>
      <c r="E330" s="3" t="s">
        <v>175</v>
      </c>
      <c r="F330" s="3"/>
      <c r="G330" s="4" t="b">
        <v>1</v>
      </c>
      <c r="H330" s="5"/>
      <c r="I330" s="4" t="b">
        <v>1</v>
      </c>
      <c r="J330" s="5"/>
      <c r="K330" s="5"/>
      <c r="L330" s="5"/>
      <c r="M330" s="5"/>
      <c r="N330" s="2" t="str">
        <f>Table1[[#This Row],[Level1]]</f>
        <v>Hem &amp; Trädgård</v>
      </c>
      <c r="O330" s="2" t="str">
        <f>Table1[[#This Row],[Level1]]
&amp;IF(Table1[[#This Row],[Level2]]&lt;&gt;""," &gt; "&amp;Table1[[#This Row],[Level2]],"")</f>
        <v>Hem &amp; Trädgård &gt; Odling &amp; trädgård</v>
      </c>
      <c r="P330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 &gt; Reservdelar trädgårdsmaskiner</v>
      </c>
      <c r="Q330" s="6" t="s">
        <v>585</v>
      </c>
    </row>
    <row r="331" spans="1:17" x14ac:dyDescent="0.25">
      <c r="A331" s="1" t="s">
        <v>8</v>
      </c>
      <c r="B33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hem-och-tradgard-odling-och-tradgard-tradgardsredskap</v>
      </c>
      <c r="C331" s="3" t="s">
        <v>146</v>
      </c>
      <c r="D331" s="3" t="s">
        <v>460</v>
      </c>
      <c r="E331" s="3" t="s">
        <v>171</v>
      </c>
      <c r="F331" s="3"/>
      <c r="G331" s="4" t="b">
        <v>1</v>
      </c>
      <c r="H331" s="5"/>
      <c r="I331" s="4" t="b">
        <v>1</v>
      </c>
      <c r="J331" s="5"/>
      <c r="K331" s="5"/>
      <c r="L331" s="5"/>
      <c r="M331" s="5"/>
      <c r="N331" s="2" t="str">
        <f>Table1[[#This Row],[Level1]]</f>
        <v>Hem &amp; Trädgård</v>
      </c>
      <c r="O331" s="2" t="str">
        <f>Table1[[#This Row],[Level1]]
&amp;IF(Table1[[#This Row],[Level2]]&lt;&gt;""," &gt; "&amp;Table1[[#This Row],[Level2]],"")</f>
        <v>Hem &amp; Trädgård &gt; Odling &amp; trädgård</v>
      </c>
      <c r="P331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Odling &amp; trädgård &gt; Trädgårdsredskap</v>
      </c>
      <c r="Q331" s="6" t="s">
        <v>586</v>
      </c>
    </row>
    <row r="332" spans="1:17" x14ac:dyDescent="0.25">
      <c r="A332" s="1" t="s">
        <v>8</v>
      </c>
      <c r="B33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mode-och-accessoarer-planbocker-och-korthallare-korthallare</v>
      </c>
      <c r="C332" s="3" t="s">
        <v>288</v>
      </c>
      <c r="D332" s="3" t="s">
        <v>473</v>
      </c>
      <c r="E332" s="3" t="s">
        <v>313</v>
      </c>
      <c r="F332" s="3"/>
      <c r="G332" s="4" t="b">
        <v>1</v>
      </c>
      <c r="H332" s="5"/>
      <c r="I332" s="4" t="b">
        <v>1</v>
      </c>
      <c r="J332" s="5"/>
      <c r="K332" s="5"/>
      <c r="L332" s="5"/>
      <c r="M332" s="5"/>
      <c r="N332" s="2" t="str">
        <f>Table1[[#This Row],[Level1]]</f>
        <v>Mode &amp; Accessoarer</v>
      </c>
      <c r="O332" s="2" t="str">
        <f>Table1[[#This Row],[Level1]]
&amp;IF(Table1[[#This Row],[Level2]]&lt;&gt;""," &gt; "&amp;Table1[[#This Row],[Level2]],"")</f>
        <v>Mode &amp; Accessoarer &gt; Plånböcker &amp; korthållare</v>
      </c>
      <c r="P33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Plånböcker &amp; korthållare &gt; Korthållare</v>
      </c>
      <c r="Q332" s="6" t="s">
        <v>817</v>
      </c>
    </row>
    <row r="333" spans="1:17" x14ac:dyDescent="0.25">
      <c r="A333" s="1" t="s">
        <v>8</v>
      </c>
      <c r="B33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mode-och-accessoarer-planbocker-och-korthallare-planbocker</v>
      </c>
      <c r="C333" s="3" t="s">
        <v>288</v>
      </c>
      <c r="D333" s="3" t="s">
        <v>473</v>
      </c>
      <c r="E333" s="3" t="s">
        <v>312</v>
      </c>
      <c r="F333" s="3"/>
      <c r="G333" s="4" t="b">
        <v>1</v>
      </c>
      <c r="H333" s="5"/>
      <c r="I333" s="4" t="b">
        <v>1</v>
      </c>
      <c r="J333" s="5"/>
      <c r="K333" s="5"/>
      <c r="L333" s="5"/>
      <c r="M333" s="5"/>
      <c r="N333" s="2" t="str">
        <f>Table1[[#This Row],[Level1]]</f>
        <v>Mode &amp; Accessoarer</v>
      </c>
      <c r="O333" s="2" t="str">
        <f>Table1[[#This Row],[Level1]]
&amp;IF(Table1[[#This Row],[Level2]]&lt;&gt;""," &gt; "&amp;Table1[[#This Row],[Level2]],"")</f>
        <v>Mode &amp; Accessoarer &gt; Plånböcker &amp; korthållare</v>
      </c>
      <c r="P333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Plånböcker &amp; korthållare &gt; Plånböcker</v>
      </c>
      <c r="Q333" s="6" t="s">
        <v>818</v>
      </c>
    </row>
    <row r="334" spans="1:17" x14ac:dyDescent="0.25">
      <c r="A334" s="1" t="s">
        <v>8</v>
      </c>
      <c r="B33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mode-och-accessoarer-planbocker-och-korthallare-planbocker-med-mobilfack</v>
      </c>
      <c r="C334" s="3" t="s">
        <v>288</v>
      </c>
      <c r="D334" s="3" t="s">
        <v>473</v>
      </c>
      <c r="E334" s="3" t="s">
        <v>314</v>
      </c>
      <c r="F334" s="3"/>
      <c r="G334" s="4" t="b">
        <v>1</v>
      </c>
      <c r="H334" s="5"/>
      <c r="I334" s="4" t="b">
        <v>1</v>
      </c>
      <c r="J334" s="5"/>
      <c r="K334" s="5"/>
      <c r="L334" s="5"/>
      <c r="M334" s="5"/>
      <c r="N334" s="2" t="str">
        <f>Table1[[#This Row],[Level1]]</f>
        <v>Mode &amp; Accessoarer</v>
      </c>
      <c r="O334" s="2" t="str">
        <f>Table1[[#This Row],[Level1]]
&amp;IF(Table1[[#This Row],[Level2]]&lt;&gt;""," &gt; "&amp;Table1[[#This Row],[Level2]],"")</f>
        <v>Mode &amp; Accessoarer &gt; Plånböcker &amp; korthållare</v>
      </c>
      <c r="P33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Plånböcker &amp; korthållare &gt; Plånböcker med mobilfack</v>
      </c>
      <c r="Q334" s="6" t="s">
        <v>819</v>
      </c>
    </row>
    <row r="335" spans="1:17" x14ac:dyDescent="0.25">
      <c r="A335" s="1" t="s">
        <v>8</v>
      </c>
      <c r="B33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mode-och-accessoarer-planbocker-och-korthallare-rfid-skydd-och-sakra-planbocker</v>
      </c>
      <c r="C335" s="3" t="s">
        <v>288</v>
      </c>
      <c r="D335" s="3" t="s">
        <v>473</v>
      </c>
      <c r="E335" s="3" t="s">
        <v>443</v>
      </c>
      <c r="F335" s="3"/>
      <c r="G335" s="4" t="b">
        <v>1</v>
      </c>
      <c r="H335" s="5"/>
      <c r="I335" s="4" t="b">
        <v>1</v>
      </c>
      <c r="J335" s="5"/>
      <c r="K335" s="5"/>
      <c r="L335" s="5"/>
      <c r="M335" s="5"/>
      <c r="N335" s="2" t="str">
        <f>Table1[[#This Row],[Level1]]</f>
        <v>Mode &amp; Accessoarer</v>
      </c>
      <c r="O335" s="2" t="str">
        <f>Table1[[#This Row],[Level1]]
&amp;IF(Table1[[#This Row],[Level2]]&lt;&gt;""," &gt; "&amp;Table1[[#This Row],[Level2]],"")</f>
        <v>Mode &amp; Accessoarer &gt; Plånböcker &amp; korthållare</v>
      </c>
      <c r="P33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Plånböcker &amp; korthållare &gt; Rfid-skydd &amp; säkra plånböcker</v>
      </c>
      <c r="Q335" s="6" t="s">
        <v>820</v>
      </c>
    </row>
    <row r="336" spans="1:17" x14ac:dyDescent="0.25">
      <c r="A336" s="1" t="s">
        <v>8</v>
      </c>
      <c r="B33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hobby-och-lek-presentideer-alla-hjartans-dag</v>
      </c>
      <c r="C336" s="3" t="s">
        <v>246</v>
      </c>
      <c r="D336" s="3" t="s">
        <v>281</v>
      </c>
      <c r="E336" s="3" t="s">
        <v>441</v>
      </c>
      <c r="F336" s="3"/>
      <c r="G336" s="4" t="b">
        <v>1</v>
      </c>
      <c r="H336" s="5"/>
      <c r="I336" s="4" t="b">
        <v>1</v>
      </c>
      <c r="J336" s="5"/>
      <c r="K336" s="5"/>
      <c r="L336" s="5"/>
      <c r="M336" s="5"/>
      <c r="N336" s="2" t="str">
        <f>Table1[[#This Row],[Level1]]</f>
        <v>Hobby &amp; Lek</v>
      </c>
      <c r="O336" s="2" t="str">
        <f>Table1[[#This Row],[Level1]]
&amp;IF(Table1[[#This Row],[Level2]]&lt;&gt;""," &gt; "&amp;Table1[[#This Row],[Level2]],"")</f>
        <v>Hobby &amp; Lek &gt; Presentidéer</v>
      </c>
      <c r="P336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 &gt; Alla hjärtans dag</v>
      </c>
      <c r="Q336" s="6" t="s">
        <v>722</v>
      </c>
    </row>
    <row r="337" spans="1:17" x14ac:dyDescent="0.25">
      <c r="A337" s="1" t="s">
        <v>8</v>
      </c>
      <c r="B33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hobby-och-lek-presentideer-fars-dag</v>
      </c>
      <c r="C337" s="3" t="s">
        <v>246</v>
      </c>
      <c r="D337" s="3" t="s">
        <v>281</v>
      </c>
      <c r="E337" s="3" t="s">
        <v>283</v>
      </c>
      <c r="F337" s="3"/>
      <c r="G337" s="4" t="b">
        <v>1</v>
      </c>
      <c r="H337" s="5"/>
      <c r="I337" s="4" t="b">
        <v>1</v>
      </c>
      <c r="J337" s="5"/>
      <c r="K337" s="5"/>
      <c r="L337" s="5"/>
      <c r="M337" s="5"/>
      <c r="N337" s="2" t="str">
        <f>Table1[[#This Row],[Level1]]</f>
        <v>Hobby &amp; Lek</v>
      </c>
      <c r="O337" s="2" t="str">
        <f>Table1[[#This Row],[Level1]]
&amp;IF(Table1[[#This Row],[Level2]]&lt;&gt;""," &gt; "&amp;Table1[[#This Row],[Level2]],"")</f>
        <v>Hobby &amp; Lek &gt; Presentidéer</v>
      </c>
      <c r="P337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 &gt; Fars dag</v>
      </c>
      <c r="Q337" s="6" t="s">
        <v>723</v>
      </c>
    </row>
    <row r="338" spans="1:17" x14ac:dyDescent="0.25">
      <c r="A338" s="1" t="s">
        <v>8</v>
      </c>
      <c r="B33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hobby-och-lek-presentideer-flytta-hemifran</v>
      </c>
      <c r="C338" s="3" t="s">
        <v>246</v>
      </c>
      <c r="D338" s="3" t="s">
        <v>281</v>
      </c>
      <c r="E338" s="3" t="s">
        <v>285</v>
      </c>
      <c r="F338" s="3"/>
      <c r="G338" s="4" t="b">
        <v>1</v>
      </c>
      <c r="H338" s="5"/>
      <c r="I338" s="4" t="b">
        <v>1</v>
      </c>
      <c r="J338" s="5"/>
      <c r="K338" s="5"/>
      <c r="L338" s="5"/>
      <c r="M338" s="5"/>
      <c r="N338" s="2" t="str">
        <f>Table1[[#This Row],[Level1]]</f>
        <v>Hobby &amp; Lek</v>
      </c>
      <c r="O338" s="2" t="str">
        <f>Table1[[#This Row],[Level1]]
&amp;IF(Table1[[#This Row],[Level2]]&lt;&gt;""," &gt; "&amp;Table1[[#This Row],[Level2]],"")</f>
        <v>Hobby &amp; Lek &gt; Presentidéer</v>
      </c>
      <c r="P338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 &gt; Flytta hemifrån</v>
      </c>
      <c r="Q338" s="6" t="s">
        <v>724</v>
      </c>
    </row>
    <row r="339" spans="1:17" x14ac:dyDescent="0.25">
      <c r="A339" s="1" t="s">
        <v>8</v>
      </c>
      <c r="B33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hobby-och-lek-presentideer-mors-dag</v>
      </c>
      <c r="C339" s="3" t="s">
        <v>246</v>
      </c>
      <c r="D339" s="3" t="s">
        <v>281</v>
      </c>
      <c r="E339" s="3" t="s">
        <v>282</v>
      </c>
      <c r="F339" s="3"/>
      <c r="G339" s="4" t="b">
        <v>1</v>
      </c>
      <c r="H339" s="5"/>
      <c r="I339" s="4" t="b">
        <v>1</v>
      </c>
      <c r="J339" s="5"/>
      <c r="K339" s="5"/>
      <c r="L339" s="5"/>
      <c r="M339" s="5"/>
      <c r="N339" s="2" t="str">
        <f>Table1[[#This Row],[Level1]]</f>
        <v>Hobby &amp; Lek</v>
      </c>
      <c r="O339" s="2" t="str">
        <f>Table1[[#This Row],[Level1]]
&amp;IF(Table1[[#This Row],[Level2]]&lt;&gt;""," &gt; "&amp;Table1[[#This Row],[Level2]],"")</f>
        <v>Hobby &amp; Lek &gt; Presentidéer</v>
      </c>
      <c r="P339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 &gt; Mors dag</v>
      </c>
      <c r="Q339" s="6" t="s">
        <v>725</v>
      </c>
    </row>
    <row r="340" spans="1:17" x14ac:dyDescent="0.25">
      <c r="A340" s="1" t="s">
        <v>8</v>
      </c>
      <c r="B34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hobby-och-lek-presentideer-presenter-for-barn</v>
      </c>
      <c r="C340" s="3" t="s">
        <v>246</v>
      </c>
      <c r="D340" s="3" t="s">
        <v>281</v>
      </c>
      <c r="E340" s="3" t="s">
        <v>286</v>
      </c>
      <c r="F340" s="3"/>
      <c r="G340" s="4" t="b">
        <v>1</v>
      </c>
      <c r="H340" s="5"/>
      <c r="I340" s="4" t="b">
        <v>1</v>
      </c>
      <c r="J340" s="5"/>
      <c r="K340" s="5"/>
      <c r="L340" s="5"/>
      <c r="M340" s="5"/>
      <c r="N340" s="2" t="str">
        <f>Table1[[#This Row],[Level1]]</f>
        <v>Hobby &amp; Lek</v>
      </c>
      <c r="O340" s="2" t="str">
        <f>Table1[[#This Row],[Level1]]
&amp;IF(Table1[[#This Row],[Level2]]&lt;&gt;""," &gt; "&amp;Table1[[#This Row],[Level2]],"")</f>
        <v>Hobby &amp; Lek &gt; Presentidéer</v>
      </c>
      <c r="P340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 &gt; Presenter för barn</v>
      </c>
      <c r="Q340" s="6" t="s">
        <v>726</v>
      </c>
    </row>
    <row r="341" spans="1:17" x14ac:dyDescent="0.25">
      <c r="A341" s="1" t="s">
        <v>8</v>
      </c>
      <c r="B34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hobby-och-lek-presentideer-presenter-for-vuxna</v>
      </c>
      <c r="C341" s="3" t="s">
        <v>246</v>
      </c>
      <c r="D341" s="3" t="s">
        <v>281</v>
      </c>
      <c r="E341" s="3" t="s">
        <v>287</v>
      </c>
      <c r="F341" s="3"/>
      <c r="G341" s="4" t="b">
        <v>1</v>
      </c>
      <c r="H341" s="5"/>
      <c r="I341" s="4" t="b">
        <v>1</v>
      </c>
      <c r="J341" s="5"/>
      <c r="K341" s="5"/>
      <c r="L341" s="5"/>
      <c r="M341" s="5"/>
      <c r="N341" s="2" t="str">
        <f>Table1[[#This Row],[Level1]]</f>
        <v>Hobby &amp; Lek</v>
      </c>
      <c r="O341" s="2" t="str">
        <f>Table1[[#This Row],[Level1]]
&amp;IF(Table1[[#This Row],[Level2]]&lt;&gt;""," &gt; "&amp;Table1[[#This Row],[Level2]],"")</f>
        <v>Hobby &amp; Lek &gt; Presentidéer</v>
      </c>
      <c r="P341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 &gt; Presenter för vuxna</v>
      </c>
      <c r="Q341" s="6" t="s">
        <v>727</v>
      </c>
    </row>
    <row r="342" spans="1:17" x14ac:dyDescent="0.25">
      <c r="A342" s="1" t="s">
        <v>8</v>
      </c>
      <c r="B34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hobby-och-lek-presentideer-studentpresenter</v>
      </c>
      <c r="C342" s="3" t="s">
        <v>246</v>
      </c>
      <c r="D342" s="3" t="s">
        <v>281</v>
      </c>
      <c r="E342" s="3" t="s">
        <v>284</v>
      </c>
      <c r="F342" s="3"/>
      <c r="G342" s="4" t="b">
        <v>1</v>
      </c>
      <c r="H342" s="5"/>
      <c r="I342" s="4" t="b">
        <v>1</v>
      </c>
      <c r="J342" s="5"/>
      <c r="K342" s="5"/>
      <c r="L342" s="5"/>
      <c r="M342" s="5"/>
      <c r="N342" s="2" t="str">
        <f>Table1[[#This Row],[Level1]]</f>
        <v>Hobby &amp; Lek</v>
      </c>
      <c r="O342" s="2" t="str">
        <f>Table1[[#This Row],[Level1]]
&amp;IF(Table1[[#This Row],[Level2]]&lt;&gt;""," &gt; "&amp;Table1[[#This Row],[Level2]],"")</f>
        <v>Hobby &amp; Lek &gt; Presentidéer</v>
      </c>
      <c r="P342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Presentidéer &gt; Studentpresenter</v>
      </c>
      <c r="Q342" s="6" t="s">
        <v>728</v>
      </c>
    </row>
    <row r="343" spans="1:17" x14ac:dyDescent="0.25">
      <c r="A343" s="1" t="s">
        <v>8</v>
      </c>
      <c r="B34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hobby-och-lek-pyssel-och-kreativitet-diamanttavlor</v>
      </c>
      <c r="C343" s="3" t="s">
        <v>246</v>
      </c>
      <c r="D343" s="3" t="s">
        <v>466</v>
      </c>
      <c r="E343" s="3" t="s">
        <v>259</v>
      </c>
      <c r="F343" s="3"/>
      <c r="G343" s="4" t="b">
        <v>1</v>
      </c>
      <c r="H343" s="5"/>
      <c r="I343" s="4" t="b">
        <v>1</v>
      </c>
      <c r="J343" s="5"/>
      <c r="K343" s="5"/>
      <c r="L343" s="5"/>
      <c r="M343" s="5"/>
      <c r="N343" s="2" t="str">
        <f>Table1[[#This Row],[Level1]]</f>
        <v>Hobby &amp; Lek</v>
      </c>
      <c r="O343" s="2" t="str">
        <f>Table1[[#This Row],[Level1]]
&amp;IF(Table1[[#This Row],[Level2]]&lt;&gt;""," &gt; "&amp;Table1[[#This Row],[Level2]],"")</f>
        <v>Hobby &amp; Lek &gt; Pyssel &amp; kreativitet</v>
      </c>
      <c r="P343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Pyssel &amp; kreativitet &gt; Diamanttavlor</v>
      </c>
      <c r="Q343" s="6" t="s">
        <v>729</v>
      </c>
    </row>
    <row r="344" spans="1:17" x14ac:dyDescent="0.25">
      <c r="A344" s="1" t="s">
        <v>8</v>
      </c>
      <c r="B34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hobby-och-lek-pyssel-och-kreativitet-malarbocker</v>
      </c>
      <c r="C344" s="3" t="s">
        <v>246</v>
      </c>
      <c r="D344" s="3" t="s">
        <v>466</v>
      </c>
      <c r="E344" s="3" t="s">
        <v>258</v>
      </c>
      <c r="F344" s="3"/>
      <c r="G344" s="4" t="b">
        <v>1</v>
      </c>
      <c r="H344" s="5"/>
      <c r="I344" s="4" t="b">
        <v>1</v>
      </c>
      <c r="J344" s="5"/>
      <c r="K344" s="5"/>
      <c r="L344" s="5"/>
      <c r="M344" s="5"/>
      <c r="N344" s="2" t="str">
        <f>Table1[[#This Row],[Level1]]</f>
        <v>Hobby &amp; Lek</v>
      </c>
      <c r="O344" s="2" t="str">
        <f>Table1[[#This Row],[Level1]]
&amp;IF(Table1[[#This Row],[Level2]]&lt;&gt;""," &gt; "&amp;Table1[[#This Row],[Level2]],"")</f>
        <v>Hobby &amp; Lek &gt; Pyssel &amp; kreativitet</v>
      </c>
      <c r="P344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Pyssel &amp; kreativitet &gt; Målarböcker</v>
      </c>
      <c r="Q344" s="6" t="s">
        <v>730</v>
      </c>
    </row>
    <row r="345" spans="1:17" x14ac:dyDescent="0.25">
      <c r="A345" s="1" t="s">
        <v>8</v>
      </c>
      <c r="B34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hobby-och-lek-pyssel-och-kreativitet-pussel</v>
      </c>
      <c r="C345" s="3" t="s">
        <v>246</v>
      </c>
      <c r="D345" s="3" t="s">
        <v>466</v>
      </c>
      <c r="E345" s="3" t="s">
        <v>260</v>
      </c>
      <c r="F345" s="3"/>
      <c r="G345" s="4" t="b">
        <v>1</v>
      </c>
      <c r="H345" s="5"/>
      <c r="I345" s="4" t="b">
        <v>1</v>
      </c>
      <c r="J345" s="5"/>
      <c r="K345" s="5"/>
      <c r="L345" s="5"/>
      <c r="M345" s="5"/>
      <c r="N345" s="2" t="str">
        <f>Table1[[#This Row],[Level1]]</f>
        <v>Hobby &amp; Lek</v>
      </c>
      <c r="O345" s="2" t="str">
        <f>Table1[[#This Row],[Level1]]
&amp;IF(Table1[[#This Row],[Level2]]&lt;&gt;""," &gt; "&amp;Table1[[#This Row],[Level2]],"")</f>
        <v>Hobby &amp; Lek &gt; Pyssel &amp; kreativitet</v>
      </c>
      <c r="P345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Pyssel &amp; kreativitet &gt; Pussel</v>
      </c>
      <c r="Q345" s="6" t="s">
        <v>731</v>
      </c>
    </row>
    <row r="346" spans="1:17" x14ac:dyDescent="0.25">
      <c r="A346" s="1" t="s">
        <v>8</v>
      </c>
      <c r="B34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hobby-och-lek-pyssel-och-kreativitet-pyssel-och-diy-kit</v>
      </c>
      <c r="C346" s="3" t="s">
        <v>246</v>
      </c>
      <c r="D346" s="3" t="s">
        <v>466</v>
      </c>
      <c r="E346" s="3" t="s">
        <v>438</v>
      </c>
      <c r="F346" s="3"/>
      <c r="G346" s="4" t="b">
        <v>1</v>
      </c>
      <c r="H346" s="5"/>
      <c r="I346" s="4" t="b">
        <v>1</v>
      </c>
      <c r="J346" s="5"/>
      <c r="K346" s="5"/>
      <c r="L346" s="5"/>
      <c r="M346" s="5"/>
      <c r="N346" s="2" t="str">
        <f>Table1[[#This Row],[Level1]]</f>
        <v>Hobby &amp; Lek</v>
      </c>
      <c r="O346" s="2" t="str">
        <f>Table1[[#This Row],[Level1]]
&amp;IF(Table1[[#This Row],[Level2]]&lt;&gt;""," &gt; "&amp;Table1[[#This Row],[Level2]],"")</f>
        <v>Hobby &amp; Lek &gt; Pyssel &amp; kreativitet</v>
      </c>
      <c r="P346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Pyssel &amp; kreativitet &gt; Pyssel &amp; diy-kit</v>
      </c>
      <c r="Q346" s="6" t="s">
        <v>732</v>
      </c>
    </row>
    <row r="347" spans="1:17" x14ac:dyDescent="0.25">
      <c r="A347" s="1" t="s">
        <v>8</v>
      </c>
      <c r="B34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hobby-och-lek-pyssel-och-kreativitet-rita-mala-och-skriva</v>
      </c>
      <c r="C347" s="3" t="s">
        <v>246</v>
      </c>
      <c r="D347" s="3" t="s">
        <v>466</v>
      </c>
      <c r="E347" s="3" t="s">
        <v>257</v>
      </c>
      <c r="F347" s="3"/>
      <c r="G347" s="4" t="b">
        <v>1</v>
      </c>
      <c r="H347" s="5"/>
      <c r="I347" s="4" t="b">
        <v>1</v>
      </c>
      <c r="J347" s="5"/>
      <c r="K347" s="5"/>
      <c r="L347" s="5"/>
      <c r="M347" s="5"/>
      <c r="N347" s="2" t="str">
        <f>Table1[[#This Row],[Level1]]</f>
        <v>Hobby &amp; Lek</v>
      </c>
      <c r="O347" s="2" t="str">
        <f>Table1[[#This Row],[Level1]]
&amp;IF(Table1[[#This Row],[Level2]]&lt;&gt;""," &gt; "&amp;Table1[[#This Row],[Level2]],"")</f>
        <v>Hobby &amp; Lek &gt; Pyssel &amp; kreativitet</v>
      </c>
      <c r="P347" s="2" t="str">
        <f>Table1[[#This Row],[Level1]]
&amp;IF(Table1[[#This Row],[Level2]]&lt;&gt;""," &gt; "&amp;Table1[[#This Row],[Level2]],"")
&amp;IF(Table1[[#This Row],[Level3]]&lt;&gt;""," &gt; "&amp;Table1[[#This Row],[Level3]],"")</f>
        <v>Hobby &amp; Lek &gt; Pyssel &amp; kreativitet &gt; Rita, måla &amp; skriva</v>
      </c>
      <c r="Q347" s="6" t="s">
        <v>733</v>
      </c>
    </row>
    <row r="348" spans="1:17" x14ac:dyDescent="0.25">
      <c r="A348" s="1" t="s">
        <v>8</v>
      </c>
      <c r="B34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hobby-och-lek-radiostyrt-dronare</v>
      </c>
      <c r="C348" s="3" t="s">
        <v>246</v>
      </c>
      <c r="D348" s="3" t="s">
        <v>272</v>
      </c>
      <c r="E348" s="3" t="s">
        <v>273</v>
      </c>
      <c r="F348" s="3"/>
      <c r="G348" s="4" t="b">
        <v>1</v>
      </c>
      <c r="H348" s="5"/>
      <c r="I348" s="4" t="b">
        <v>1</v>
      </c>
      <c r="J348" s="5"/>
      <c r="K348" s="5"/>
      <c r="L348" s="5"/>
      <c r="M348" s="5"/>
      <c r="N348" s="2" t="str">
        <f>Table1[[#This Row],[Level1]]</f>
        <v>Hobby &amp; Lek</v>
      </c>
      <c r="O348" s="2" t="str">
        <f>Table1[[#This Row],[Level1]]
&amp;IF(Table1[[#This Row],[Level2]]&lt;&gt;""," &gt; "&amp;Table1[[#This Row],[Level2]],"")</f>
        <v>Hobby &amp; Lek &gt; Radiostyrt</v>
      </c>
      <c r="P348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Drönare</v>
      </c>
      <c r="Q348" s="6" t="s">
        <v>734</v>
      </c>
    </row>
    <row r="349" spans="1:17" x14ac:dyDescent="0.25">
      <c r="A349" s="1" t="s">
        <v>8</v>
      </c>
      <c r="B34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hobby-och-lek-radiostyrt-fasten-och-hallare</v>
      </c>
      <c r="C349" s="3" t="s">
        <v>246</v>
      </c>
      <c r="D349" s="3" t="s">
        <v>272</v>
      </c>
      <c r="E349" s="3" t="s">
        <v>280</v>
      </c>
      <c r="F349" s="3"/>
      <c r="G349" s="4" t="b">
        <v>1</v>
      </c>
      <c r="H349" s="5"/>
      <c r="I349" s="4" t="b">
        <v>1</v>
      </c>
      <c r="J349" s="5"/>
      <c r="K349" s="5"/>
      <c r="L349" s="5"/>
      <c r="M349" s="5"/>
      <c r="N349" s="2" t="str">
        <f>Table1[[#This Row],[Level1]]</f>
        <v>Hobby &amp; Lek</v>
      </c>
      <c r="O349" s="2" t="str">
        <f>Table1[[#This Row],[Level1]]
&amp;IF(Table1[[#This Row],[Level2]]&lt;&gt;""," &gt; "&amp;Table1[[#This Row],[Level2]],"")</f>
        <v>Hobby &amp; Lek &gt; Radiostyrt</v>
      </c>
      <c r="P349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Fästen &amp; hållare</v>
      </c>
      <c r="Q349" s="6" t="s">
        <v>735</v>
      </c>
    </row>
    <row r="350" spans="1:17" x14ac:dyDescent="0.25">
      <c r="A350" s="1" t="s">
        <v>8</v>
      </c>
      <c r="B35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hobby-och-lek-radiostyrt-laddare</v>
      </c>
      <c r="C350" s="3" t="s">
        <v>246</v>
      </c>
      <c r="D350" s="3" t="s">
        <v>272</v>
      </c>
      <c r="E350" s="3" t="s">
        <v>277</v>
      </c>
      <c r="F350" s="3"/>
      <c r="G350" s="4" t="b">
        <v>1</v>
      </c>
      <c r="H350" s="5"/>
      <c r="I350" s="4" t="b">
        <v>1</v>
      </c>
      <c r="J350" s="5"/>
      <c r="K350" s="5"/>
      <c r="L350" s="5"/>
      <c r="M350" s="5"/>
      <c r="N350" s="2" t="str">
        <f>Table1[[#This Row],[Level1]]</f>
        <v>Hobby &amp; Lek</v>
      </c>
      <c r="O350" s="2" t="str">
        <f>Table1[[#This Row],[Level1]]
&amp;IF(Table1[[#This Row],[Level2]]&lt;&gt;""," &gt; "&amp;Table1[[#This Row],[Level2]],"")</f>
        <v>Hobby &amp; Lek &gt; Radiostyrt</v>
      </c>
      <c r="P350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Laddare</v>
      </c>
      <c r="Q350" s="6" t="s">
        <v>736</v>
      </c>
    </row>
    <row r="351" spans="1:17" x14ac:dyDescent="0.25">
      <c r="A351" s="1" t="s">
        <v>8</v>
      </c>
      <c r="B35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hobby-och-lek-radiostyrt-radiostyrd-helikopter</v>
      </c>
      <c r="C351" s="3" t="s">
        <v>246</v>
      </c>
      <c r="D351" s="3" t="s">
        <v>272</v>
      </c>
      <c r="E351" s="3" t="s">
        <v>276</v>
      </c>
      <c r="F351" s="3"/>
      <c r="G351" s="4" t="b">
        <v>1</v>
      </c>
      <c r="H351" s="5"/>
      <c r="I351" s="4" t="b">
        <v>1</v>
      </c>
      <c r="J351" s="5"/>
      <c r="K351" s="5"/>
      <c r="L351" s="5"/>
      <c r="M351" s="5"/>
      <c r="N351" s="2" t="str">
        <f>Table1[[#This Row],[Level1]]</f>
        <v>Hobby &amp; Lek</v>
      </c>
      <c r="O351" s="2" t="str">
        <f>Table1[[#This Row],[Level1]]
&amp;IF(Table1[[#This Row],[Level2]]&lt;&gt;""," &gt; "&amp;Table1[[#This Row],[Level2]],"")</f>
        <v>Hobby &amp; Lek &gt; Radiostyrt</v>
      </c>
      <c r="P351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Radiostyrd helikopter</v>
      </c>
      <c r="Q351" s="6" t="s">
        <v>738</v>
      </c>
    </row>
    <row r="352" spans="1:17" x14ac:dyDescent="0.25">
      <c r="A352" s="1" t="s">
        <v>8</v>
      </c>
      <c r="B35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hobby-och-lek-radiostyrt-radiostyrda-batar</v>
      </c>
      <c r="C352" s="3" t="s">
        <v>246</v>
      </c>
      <c r="D352" s="3" t="s">
        <v>272</v>
      </c>
      <c r="E352" s="3" t="s">
        <v>275</v>
      </c>
      <c r="F352" s="3"/>
      <c r="G352" s="4" t="b">
        <v>1</v>
      </c>
      <c r="H352" s="5"/>
      <c r="I352" s="4" t="b">
        <v>1</v>
      </c>
      <c r="J352" s="5"/>
      <c r="K352" s="5"/>
      <c r="L352" s="5"/>
      <c r="M352" s="5"/>
      <c r="N352" s="2" t="str">
        <f>Table1[[#This Row],[Level1]]</f>
        <v>Hobby &amp; Lek</v>
      </c>
      <c r="O352" s="2" t="str">
        <f>Table1[[#This Row],[Level1]]
&amp;IF(Table1[[#This Row],[Level2]]&lt;&gt;""," &gt; "&amp;Table1[[#This Row],[Level2]],"")</f>
        <v>Hobby &amp; Lek &gt; Radiostyrt</v>
      </c>
      <c r="P352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Radiostyrda båtar</v>
      </c>
      <c r="Q352" s="6" t="s">
        <v>739</v>
      </c>
    </row>
    <row r="353" spans="1:17" x14ac:dyDescent="0.25">
      <c r="A353" s="1" t="s">
        <v>8</v>
      </c>
      <c r="B35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hobby-och-lek-radiostyrt-radiostyrda-bilar</v>
      </c>
      <c r="C353" s="3" t="s">
        <v>246</v>
      </c>
      <c r="D353" s="3" t="s">
        <v>272</v>
      </c>
      <c r="E353" s="3" t="s">
        <v>274</v>
      </c>
      <c r="F353" s="3"/>
      <c r="G353" s="4" t="b">
        <v>1</v>
      </c>
      <c r="H353" s="5"/>
      <c r="I353" s="4" t="b">
        <v>1</v>
      </c>
      <c r="J353" s="5"/>
      <c r="K353" s="5"/>
      <c r="L353" s="5"/>
      <c r="M353" s="5"/>
      <c r="N353" s="2" t="str">
        <f>Table1[[#This Row],[Level1]]</f>
        <v>Hobby &amp; Lek</v>
      </c>
      <c r="O353" s="2" t="str">
        <f>Table1[[#This Row],[Level1]]
&amp;IF(Table1[[#This Row],[Level2]]&lt;&gt;""," &gt; "&amp;Table1[[#This Row],[Level2]],"")</f>
        <v>Hobby &amp; Lek &gt; Radiostyrt</v>
      </c>
      <c r="P353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Radiostyrda bilar</v>
      </c>
      <c r="Q353" s="6" t="s">
        <v>740</v>
      </c>
    </row>
    <row r="354" spans="1:17" x14ac:dyDescent="0.25">
      <c r="A354" s="1" t="s">
        <v>8</v>
      </c>
      <c r="B35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hobby-och-lek-radiostyrt-reservdelar</v>
      </c>
      <c r="C354" s="3" t="s">
        <v>246</v>
      </c>
      <c r="D354" s="3" t="s">
        <v>272</v>
      </c>
      <c r="E354" s="3" t="s">
        <v>278</v>
      </c>
      <c r="F354" s="3"/>
      <c r="G354" s="4" t="b">
        <v>1</v>
      </c>
      <c r="H354" s="5"/>
      <c r="I354" s="4" t="b">
        <v>1</v>
      </c>
      <c r="J354" s="5"/>
      <c r="K354" s="5"/>
      <c r="L354" s="5"/>
      <c r="M354" s="5"/>
      <c r="N354" s="2" t="str">
        <f>Table1[[#This Row],[Level1]]</f>
        <v>Hobby &amp; Lek</v>
      </c>
      <c r="O354" s="2" t="str">
        <f>Table1[[#This Row],[Level1]]
&amp;IF(Table1[[#This Row],[Level2]]&lt;&gt;""," &gt; "&amp;Table1[[#This Row],[Level2]],"")</f>
        <v>Hobby &amp; Lek &gt; Radiostyrt</v>
      </c>
      <c r="P354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Reservdelar</v>
      </c>
      <c r="Q354" s="6" t="s">
        <v>741</v>
      </c>
    </row>
    <row r="355" spans="1:17" x14ac:dyDescent="0.25">
      <c r="A355" s="1" t="s">
        <v>8</v>
      </c>
      <c r="B35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hobby-och-lek-radiostyrt-skydd-och-vaskor</v>
      </c>
      <c r="C355" s="3" t="s">
        <v>246</v>
      </c>
      <c r="D355" s="3" t="s">
        <v>272</v>
      </c>
      <c r="E355" s="3" t="s">
        <v>279</v>
      </c>
      <c r="F355" s="3"/>
      <c r="G355" s="4" t="b">
        <v>1</v>
      </c>
      <c r="H355" s="5"/>
      <c r="I355" s="4" t="b">
        <v>1</v>
      </c>
      <c r="J355" s="5"/>
      <c r="K355" s="5"/>
      <c r="L355" s="5"/>
      <c r="M355" s="5"/>
      <c r="N355" s="2" t="str">
        <f>Table1[[#This Row],[Level1]]</f>
        <v>Hobby &amp; Lek</v>
      </c>
      <c r="O355" s="2" t="str">
        <f>Table1[[#This Row],[Level1]]
&amp;IF(Table1[[#This Row],[Level2]]&lt;&gt;""," &gt; "&amp;Table1[[#This Row],[Level2]],"")</f>
        <v>Hobby &amp; Lek &gt; Radiostyrt</v>
      </c>
      <c r="P355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Radiostyrt &gt; Skydd &amp; väskor</v>
      </c>
      <c r="Q355" s="6" t="s">
        <v>742</v>
      </c>
    </row>
    <row r="356" spans="1:17" x14ac:dyDescent="0.25">
      <c r="A356" s="1" t="s">
        <v>8</v>
      </c>
      <c r="B35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halsa-och-skonhet-rakning-och-ansning-harborttagning</v>
      </c>
      <c r="C356" s="3" t="s">
        <v>14</v>
      </c>
      <c r="D356" s="3" t="s">
        <v>57</v>
      </c>
      <c r="E356" s="3" t="s">
        <v>61</v>
      </c>
      <c r="F356" s="3"/>
      <c r="G356" s="4" t="b">
        <v>1</v>
      </c>
      <c r="H356" s="5"/>
      <c r="I356" s="4" t="b">
        <v>1</v>
      </c>
      <c r="J356" s="5"/>
      <c r="K356" s="5"/>
      <c r="L356" s="5"/>
      <c r="M356" s="5"/>
      <c r="N356" s="2" t="str">
        <f>Table1[[#This Row],[Level1]]</f>
        <v>Hälsa &amp; Skönhet</v>
      </c>
      <c r="O356" s="2" t="str">
        <f>Table1[[#This Row],[Level1]]
&amp;IF(Table1[[#This Row],[Level2]]&lt;&gt;""," &gt; "&amp;Table1[[#This Row],[Level2]],"")</f>
        <v>Hälsa &amp; Skönhet &gt; Rakning &amp; ansning</v>
      </c>
      <c r="P356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Rakning &amp; ansning &gt; Hårborttagning</v>
      </c>
      <c r="Q356" s="6" t="s">
        <v>551</v>
      </c>
    </row>
    <row r="357" spans="1:17" x14ac:dyDescent="0.25">
      <c r="A357" s="1" t="s">
        <v>8</v>
      </c>
      <c r="B35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halsa-och-skonhet-rakning-och-ansning-rakapparater-och-skaggtrimmers</v>
      </c>
      <c r="C357" s="3" t="s">
        <v>14</v>
      </c>
      <c r="D357" s="3" t="s">
        <v>57</v>
      </c>
      <c r="E357" s="3" t="s">
        <v>58</v>
      </c>
      <c r="F357" s="3"/>
      <c r="G357" s="4" t="b">
        <v>1</v>
      </c>
      <c r="H357" s="5"/>
      <c r="I357" s="4" t="b">
        <v>1</v>
      </c>
      <c r="J357" s="5"/>
      <c r="K357" s="5"/>
      <c r="L357" s="5"/>
      <c r="M357" s="5"/>
      <c r="N357" s="2" t="str">
        <f>Table1[[#This Row],[Level1]]</f>
        <v>Hälsa &amp; Skönhet</v>
      </c>
      <c r="O357" s="2" t="str">
        <f>Table1[[#This Row],[Level1]]
&amp;IF(Table1[[#This Row],[Level2]]&lt;&gt;""," &gt; "&amp;Table1[[#This Row],[Level2]],"")</f>
        <v>Hälsa &amp; Skönhet &gt; Rakning &amp; ansning</v>
      </c>
      <c r="P357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Rakning &amp; ansning &gt; Rakapparater &amp; skäggtrimmers</v>
      </c>
      <c r="Q357" s="6" t="s">
        <v>552</v>
      </c>
    </row>
    <row r="358" spans="1:17" x14ac:dyDescent="0.25">
      <c r="A358" s="1" t="s">
        <v>8</v>
      </c>
      <c r="B35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halsa-och-skonhet-rakning-och-ansning-rakhuvud-och-skarblad</v>
      </c>
      <c r="C358" s="3" t="s">
        <v>14</v>
      </c>
      <c r="D358" s="3" t="s">
        <v>57</v>
      </c>
      <c r="E358" s="3" t="s">
        <v>59</v>
      </c>
      <c r="F358" s="3"/>
      <c r="G358" s="4" t="b">
        <v>1</v>
      </c>
      <c r="H358" s="5"/>
      <c r="I358" s="4" t="b">
        <v>1</v>
      </c>
      <c r="J358" s="5"/>
      <c r="K358" s="5"/>
      <c r="L358" s="5"/>
      <c r="M358" s="5"/>
      <c r="N358" s="2" t="str">
        <f>Table1[[#This Row],[Level1]]</f>
        <v>Hälsa &amp; Skönhet</v>
      </c>
      <c r="O358" s="2" t="str">
        <f>Table1[[#This Row],[Level1]]
&amp;IF(Table1[[#This Row],[Level2]]&lt;&gt;""," &gt; "&amp;Table1[[#This Row],[Level2]],"")</f>
        <v>Hälsa &amp; Skönhet &gt; Rakning &amp; ansning</v>
      </c>
      <c r="P358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Rakning &amp; ansning &gt; Rakhuvud &amp; skärblad</v>
      </c>
      <c r="Q358" s="6" t="s">
        <v>553</v>
      </c>
    </row>
    <row r="359" spans="1:17" x14ac:dyDescent="0.25">
      <c r="A359" s="1" t="s">
        <v>8</v>
      </c>
      <c r="B35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halsa-och-skonhet-rakning-och-ansning-tillbehor-och-reservdelar</v>
      </c>
      <c r="C359" s="3" t="s">
        <v>14</v>
      </c>
      <c r="D359" s="3" t="s">
        <v>57</v>
      </c>
      <c r="E359" s="3" t="s">
        <v>60</v>
      </c>
      <c r="F359" s="3"/>
      <c r="G359" s="4" t="b">
        <v>1</v>
      </c>
      <c r="H359" s="5"/>
      <c r="I359" s="4" t="b">
        <v>1</v>
      </c>
      <c r="J359" s="5"/>
      <c r="K359" s="5"/>
      <c r="L359" s="5"/>
      <c r="M359" s="5"/>
      <c r="N359" s="2" t="str">
        <f>Table1[[#This Row],[Level1]]</f>
        <v>Hälsa &amp; Skönhet</v>
      </c>
      <c r="O359" s="2" t="str">
        <f>Table1[[#This Row],[Level1]]
&amp;IF(Table1[[#This Row],[Level2]]&lt;&gt;""," &gt; "&amp;Table1[[#This Row],[Level2]],"")</f>
        <v>Hälsa &amp; Skönhet &gt; Rakning &amp; ansning</v>
      </c>
      <c r="P35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Rakning &amp; ansning &gt; Tillbehör &amp; reservdelar</v>
      </c>
      <c r="Q359" s="6" t="s">
        <v>554</v>
      </c>
    </row>
    <row r="360" spans="1:17" x14ac:dyDescent="0.25">
      <c r="A360" s="1" t="s">
        <v>8</v>
      </c>
      <c r="B36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sport-och-fritid-resetillbehor-ovriga-resetillbehor</v>
      </c>
      <c r="C360" s="3" t="s">
        <v>204</v>
      </c>
      <c r="D360" s="3" t="s">
        <v>214</v>
      </c>
      <c r="E360" s="3" t="s">
        <v>370</v>
      </c>
      <c r="F360" s="3"/>
      <c r="G360" s="4" t="b">
        <v>1</v>
      </c>
      <c r="H360" s="5"/>
      <c r="I360" s="4" t="b">
        <v>1</v>
      </c>
      <c r="J360" s="5"/>
      <c r="K360" s="5"/>
      <c r="L360" s="5"/>
      <c r="M360" s="5"/>
      <c r="N360" s="2" t="str">
        <f>Table1[[#This Row],[Level1]]</f>
        <v>Sport &amp; Fritid</v>
      </c>
      <c r="O360" s="2" t="str">
        <f>Table1[[#This Row],[Level1]]
&amp;IF(Table1[[#This Row],[Level2]]&lt;&gt;""," &gt; "&amp;Table1[[#This Row],[Level2]],"")</f>
        <v>Sport &amp; Fritid &gt; Resetillbehör</v>
      </c>
      <c r="P360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Resetillbehör &gt; Övriga resetillbehör</v>
      </c>
      <c r="Q360" s="6" t="s">
        <v>863</v>
      </c>
    </row>
    <row r="361" spans="1:17" x14ac:dyDescent="0.25">
      <c r="A361" s="1" t="s">
        <v>8</v>
      </c>
      <c r="B36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sport-och-fritid-resetillbehor-passfodral-och-vaskor</v>
      </c>
      <c r="C361" s="3" t="s">
        <v>204</v>
      </c>
      <c r="D361" s="3" t="s">
        <v>214</v>
      </c>
      <c r="E361" s="3" t="s">
        <v>430</v>
      </c>
      <c r="F361" s="3"/>
      <c r="G361" s="4" t="b">
        <v>1</v>
      </c>
      <c r="H361" s="5"/>
      <c r="I361" s="4" t="b">
        <v>1</v>
      </c>
      <c r="J361" s="5"/>
      <c r="K361" s="5"/>
      <c r="L361" s="5"/>
      <c r="M361" s="5"/>
      <c r="N361" s="2" t="str">
        <f>Table1[[#This Row],[Level1]]</f>
        <v>Sport &amp; Fritid</v>
      </c>
      <c r="O361" s="2" t="str">
        <f>Table1[[#This Row],[Level1]]
&amp;IF(Table1[[#This Row],[Level2]]&lt;&gt;""," &gt; "&amp;Table1[[#This Row],[Level2]],"")</f>
        <v>Sport &amp; Fritid &gt; Resetillbehör</v>
      </c>
      <c r="P361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Resetillbehör &gt; Passfodral &amp; väskor</v>
      </c>
      <c r="Q361" s="6" t="s">
        <v>864</v>
      </c>
    </row>
    <row r="362" spans="1:17" x14ac:dyDescent="0.25">
      <c r="A362" s="1" t="s">
        <v>8</v>
      </c>
      <c r="B36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sport-och-fritid-resetillbehor-reseadaptrar</v>
      </c>
      <c r="C362" s="3" t="s">
        <v>204</v>
      </c>
      <c r="D362" s="3" t="s">
        <v>214</v>
      </c>
      <c r="E362" s="3" t="s">
        <v>216</v>
      </c>
      <c r="F362" s="3"/>
      <c r="G362" s="4" t="b">
        <v>1</v>
      </c>
      <c r="H362" s="5"/>
      <c r="I362" s="4" t="b">
        <v>1</v>
      </c>
      <c r="J362" s="5"/>
      <c r="K362" s="5"/>
      <c r="L362" s="5"/>
      <c r="M362" s="5"/>
      <c r="N362" s="2" t="str">
        <f>Table1[[#This Row],[Level1]]</f>
        <v>Sport &amp; Fritid</v>
      </c>
      <c r="O362" s="2" t="str">
        <f>Table1[[#This Row],[Level1]]
&amp;IF(Table1[[#This Row],[Level2]]&lt;&gt;""," &gt; "&amp;Table1[[#This Row],[Level2]],"")</f>
        <v>Sport &amp; Fritid &gt; Resetillbehör</v>
      </c>
      <c r="P362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Resetillbehör &gt; Reseadaptrar</v>
      </c>
      <c r="Q362" s="6" t="s">
        <v>865</v>
      </c>
    </row>
    <row r="363" spans="1:17" x14ac:dyDescent="0.25">
      <c r="A363" s="1" t="s">
        <v>8</v>
      </c>
      <c r="B36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sport-och-fritid-resetillbehor-resenecessarer</v>
      </c>
      <c r="C363" s="3" t="s">
        <v>204</v>
      </c>
      <c r="D363" s="3" t="s">
        <v>214</v>
      </c>
      <c r="E363" s="3" t="s">
        <v>215</v>
      </c>
      <c r="F363" s="3"/>
      <c r="G363" s="4" t="b">
        <v>1</v>
      </c>
      <c r="H363" s="5"/>
      <c r="I363" s="4" t="b">
        <v>1</v>
      </c>
      <c r="J363" s="5"/>
      <c r="K363" s="5"/>
      <c r="L363" s="5"/>
      <c r="M363" s="5"/>
      <c r="N363" s="2" t="str">
        <f>Table1[[#This Row],[Level1]]</f>
        <v>Sport &amp; Fritid</v>
      </c>
      <c r="O363" s="2" t="str">
        <f>Table1[[#This Row],[Level1]]
&amp;IF(Table1[[#This Row],[Level2]]&lt;&gt;""," &gt; "&amp;Table1[[#This Row],[Level2]],"")</f>
        <v>Sport &amp; Fritid &gt; Resetillbehör</v>
      </c>
      <c r="P363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Resetillbehör &gt; Resenecessärer</v>
      </c>
      <c r="Q363" s="6" t="s">
        <v>866</v>
      </c>
    </row>
    <row r="364" spans="1:17" x14ac:dyDescent="0.25">
      <c r="A364" s="1" t="s">
        <v>8</v>
      </c>
      <c r="B36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sport-och-fritid-resetillbehor-sovmasker-och-nackstod</v>
      </c>
      <c r="C364" s="3" t="s">
        <v>204</v>
      </c>
      <c r="D364" s="3" t="s">
        <v>214</v>
      </c>
      <c r="E364" s="3" t="s">
        <v>431</v>
      </c>
      <c r="F364" s="3"/>
      <c r="G364" s="4" t="b">
        <v>1</v>
      </c>
      <c r="H364" s="5"/>
      <c r="I364" s="4" t="b">
        <v>1</v>
      </c>
      <c r="J364" s="5"/>
      <c r="K364" s="5"/>
      <c r="L364" s="5"/>
      <c r="M364" s="5"/>
      <c r="N364" s="2" t="str">
        <f>Table1[[#This Row],[Level1]]</f>
        <v>Sport &amp; Fritid</v>
      </c>
      <c r="O364" s="2" t="str">
        <f>Table1[[#This Row],[Level1]]
&amp;IF(Table1[[#This Row],[Level2]]&lt;&gt;""," &gt; "&amp;Table1[[#This Row],[Level2]],"")</f>
        <v>Sport &amp; Fritid &gt; Resetillbehör</v>
      </c>
      <c r="P364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Resetillbehör &gt; Sovmasker &amp; nackstöd</v>
      </c>
      <c r="Q364" s="6" t="s">
        <v>867</v>
      </c>
    </row>
    <row r="365" spans="1:17" x14ac:dyDescent="0.25">
      <c r="A365" s="1" t="s">
        <v>8</v>
      </c>
      <c r="B36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sport-och-fritid-resetillbehor-verktyg-och-bagagevagar</v>
      </c>
      <c r="C365" s="3" t="s">
        <v>204</v>
      </c>
      <c r="D365" s="3" t="s">
        <v>214</v>
      </c>
      <c r="E365" s="3" t="s">
        <v>429</v>
      </c>
      <c r="F365" s="3"/>
      <c r="G365" s="4" t="b">
        <v>1</v>
      </c>
      <c r="H365" s="5"/>
      <c r="I365" s="4" t="b">
        <v>1</v>
      </c>
      <c r="J365" s="5"/>
      <c r="K365" s="5"/>
      <c r="L365" s="5"/>
      <c r="M365" s="5"/>
      <c r="N365" s="2" t="str">
        <f>Table1[[#This Row],[Level1]]</f>
        <v>Sport &amp; Fritid</v>
      </c>
      <c r="O365" s="2" t="str">
        <f>Table1[[#This Row],[Level1]]
&amp;IF(Table1[[#This Row],[Level2]]&lt;&gt;""," &gt; "&amp;Table1[[#This Row],[Level2]],"")</f>
        <v>Sport &amp; Fritid &gt; Resetillbehör</v>
      </c>
      <c r="P365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Resetillbehör &gt; Verktyg &amp; bagagevågar</v>
      </c>
      <c r="Q365" s="6" t="s">
        <v>868</v>
      </c>
    </row>
    <row r="366" spans="1:17" x14ac:dyDescent="0.25">
      <c r="A366" s="1" t="s">
        <v>8</v>
      </c>
      <c r="B36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hobby-och-lek-roliga-prylar-och-samlarobjekt-samlarobjekt</v>
      </c>
      <c r="C366" s="3" t="s">
        <v>246</v>
      </c>
      <c r="D366" s="3" t="s">
        <v>467</v>
      </c>
      <c r="E366" s="3" t="s">
        <v>264</v>
      </c>
      <c r="F366" s="3"/>
      <c r="G366" s="4" t="b">
        <v>1</v>
      </c>
      <c r="H366" s="5"/>
      <c r="I366" s="4" t="b">
        <v>1</v>
      </c>
      <c r="J366" s="5"/>
      <c r="K366" s="5"/>
      <c r="L366" s="5"/>
      <c r="M366" s="5"/>
      <c r="N366" s="2" t="str">
        <f>Table1[[#This Row],[Level1]]</f>
        <v>Hobby &amp; Lek</v>
      </c>
      <c r="O366" s="2" t="str">
        <f>Table1[[#This Row],[Level1]]
&amp;IF(Table1[[#This Row],[Level2]]&lt;&gt;""," &gt; "&amp;Table1[[#This Row],[Level2]],"")</f>
        <v>Hobby &amp; Lek &gt; Roliga prylar &amp; samlarobjekt</v>
      </c>
      <c r="P366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Roliga prylar &amp; samlarobjekt &gt; Samlarobjekt</v>
      </c>
      <c r="Q366" s="6" t="s">
        <v>743</v>
      </c>
    </row>
    <row r="367" spans="1:17" x14ac:dyDescent="0.25">
      <c r="A367" s="1" t="s">
        <v>8</v>
      </c>
      <c r="B36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hobby-och-lek-roliga-prylar-och-samlarobjekt-skamtartiklar</v>
      </c>
      <c r="C367" s="3" t="s">
        <v>246</v>
      </c>
      <c r="D367" s="3" t="s">
        <v>467</v>
      </c>
      <c r="E367" s="3" t="s">
        <v>261</v>
      </c>
      <c r="F367" s="3"/>
      <c r="G367" s="4" t="b">
        <v>1</v>
      </c>
      <c r="H367" s="5"/>
      <c r="I367" s="4" t="b">
        <v>1</v>
      </c>
      <c r="J367" s="5"/>
      <c r="K367" s="5"/>
      <c r="L367" s="5"/>
      <c r="M367" s="5"/>
      <c r="N367" s="2" t="str">
        <f>Table1[[#This Row],[Level1]]</f>
        <v>Hobby &amp; Lek</v>
      </c>
      <c r="O367" s="2" t="str">
        <f>Table1[[#This Row],[Level1]]
&amp;IF(Table1[[#This Row],[Level2]]&lt;&gt;""," &gt; "&amp;Table1[[#This Row],[Level2]],"")</f>
        <v>Hobby &amp; Lek &gt; Roliga prylar &amp; samlarobjekt</v>
      </c>
      <c r="P367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Roliga prylar &amp; samlarobjekt &gt; Skämtartiklar</v>
      </c>
      <c r="Q367" s="6" t="s">
        <v>744</v>
      </c>
    </row>
    <row r="368" spans="1:17" x14ac:dyDescent="0.25">
      <c r="A368" s="1" t="s">
        <v>8</v>
      </c>
      <c r="B36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hobby-och-lek-roliga-prylar-och-samlarobjekt-smarta-saker-och-gadgets</v>
      </c>
      <c r="C368" s="3" t="s">
        <v>246</v>
      </c>
      <c r="D368" s="3" t="s">
        <v>467</v>
      </c>
      <c r="E368" s="3" t="s">
        <v>262</v>
      </c>
      <c r="F368" s="3"/>
      <c r="G368" s="4" t="b">
        <v>1</v>
      </c>
      <c r="H368" s="5"/>
      <c r="I368" s="4" t="b">
        <v>1</v>
      </c>
      <c r="J368" s="5"/>
      <c r="K368" s="5"/>
      <c r="L368" s="5"/>
      <c r="M368" s="5"/>
      <c r="N368" s="2" t="str">
        <f>Table1[[#This Row],[Level1]]</f>
        <v>Hobby &amp; Lek</v>
      </c>
      <c r="O368" s="2" t="str">
        <f>Table1[[#This Row],[Level1]]
&amp;IF(Table1[[#This Row],[Level2]]&lt;&gt;""," &gt; "&amp;Table1[[#This Row],[Level2]],"")</f>
        <v>Hobby &amp; Lek &gt; Roliga prylar &amp; samlarobjekt</v>
      </c>
      <c r="P368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Roliga prylar &amp; samlarobjekt &gt; Smarta saker &amp; gadgets</v>
      </c>
      <c r="Q368" s="6" t="s">
        <v>745</v>
      </c>
    </row>
    <row r="369" spans="1:17" x14ac:dyDescent="0.25">
      <c r="A369" s="1" t="s">
        <v>8</v>
      </c>
      <c r="B36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hobby-och-lek-roliga-prylar-och-samlarobjekt-spionprylar</v>
      </c>
      <c r="C369" s="3" t="s">
        <v>246</v>
      </c>
      <c r="D369" s="3" t="s">
        <v>467</v>
      </c>
      <c r="E369" s="3" t="s">
        <v>263</v>
      </c>
      <c r="F369" s="3"/>
      <c r="G369" s="4" t="b">
        <v>1</v>
      </c>
      <c r="H369" s="5"/>
      <c r="I369" s="4" t="b">
        <v>1</v>
      </c>
      <c r="J369" s="5"/>
      <c r="K369" s="5"/>
      <c r="L369" s="5"/>
      <c r="M369" s="5"/>
      <c r="N369" s="2" t="str">
        <f>Table1[[#This Row],[Level1]]</f>
        <v>Hobby &amp; Lek</v>
      </c>
      <c r="O369" s="2" t="str">
        <f>Table1[[#This Row],[Level1]]
&amp;IF(Table1[[#This Row],[Level2]]&lt;&gt;""," &gt; "&amp;Table1[[#This Row],[Level2]],"")</f>
        <v>Hobby &amp; Lek &gt; Roliga prylar &amp; samlarobjekt</v>
      </c>
      <c r="P369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Roliga prylar &amp; samlarobjekt &gt; Spionprylar</v>
      </c>
      <c r="Q369" s="6" t="s">
        <v>746</v>
      </c>
    </row>
    <row r="370" spans="1:17" x14ac:dyDescent="0.25">
      <c r="A370" s="1" t="s">
        <v>8</v>
      </c>
      <c r="B37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hobby-och-lek-roliga-prylar-och-samlarobjekt-tarotkort-och-alternativa-spel</v>
      </c>
      <c r="C370" s="3" t="s">
        <v>246</v>
      </c>
      <c r="D370" s="3" t="s">
        <v>467</v>
      </c>
      <c r="E370" s="3" t="s">
        <v>265</v>
      </c>
      <c r="F370" s="3"/>
      <c r="G370" s="4" t="b">
        <v>1</v>
      </c>
      <c r="H370" s="5"/>
      <c r="I370" s="4" t="b">
        <v>1</v>
      </c>
      <c r="J370" s="5"/>
      <c r="K370" s="5"/>
      <c r="L370" s="5"/>
      <c r="M370" s="5"/>
      <c r="N370" s="2" t="str">
        <f>Table1[[#This Row],[Level1]]</f>
        <v>Hobby &amp; Lek</v>
      </c>
      <c r="O370" s="2" t="str">
        <f>Table1[[#This Row],[Level1]]
&amp;IF(Table1[[#This Row],[Level2]]&lt;&gt;""," &gt; "&amp;Table1[[#This Row],[Level2]],"")</f>
        <v>Hobby &amp; Lek &gt; Roliga prylar &amp; samlarobjekt</v>
      </c>
      <c r="P370" s="2" t="str">
        <f>Table1[[#This Row],[Level1]]
&amp;IF(Table1[[#This Row],[Level2]]&lt;&gt;""," &gt; "&amp;Table1[[#This Row],[Level2]],"")
&amp;IF(Table1[[#This Row],[Level3]]&lt;&gt;""," &gt; "&amp;Table1[[#This Row],[Level3]],"")</f>
        <v>Hobby &amp; Lek &gt; Roliga prylar &amp; samlarobjekt &gt; Tarotkort &amp; alternativa spel</v>
      </c>
      <c r="Q370" s="6" t="s">
        <v>747</v>
      </c>
    </row>
    <row r="371" spans="1:17" x14ac:dyDescent="0.25">
      <c r="A371" s="1" t="s">
        <v>8</v>
      </c>
      <c r="B37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hem-och-tradgard-skadedjur-och-skydd-fagelskydd-och-djurskrammor</v>
      </c>
      <c r="C371" s="3" t="s">
        <v>146</v>
      </c>
      <c r="D371" s="3" t="s">
        <v>461</v>
      </c>
      <c r="E371" s="3" t="s">
        <v>424</v>
      </c>
      <c r="F371" s="3"/>
      <c r="G371" s="4" t="b">
        <v>1</v>
      </c>
      <c r="H371" s="5"/>
      <c r="I371" s="4" t="b">
        <v>1</v>
      </c>
      <c r="J371" s="5"/>
      <c r="K371" s="5"/>
      <c r="L371" s="5"/>
      <c r="M371" s="5"/>
      <c r="N371" s="2" t="str">
        <f>Table1[[#This Row],[Level1]]</f>
        <v>Hem &amp; Trädgård</v>
      </c>
      <c r="O371" s="2" t="str">
        <f>Table1[[#This Row],[Level1]]
&amp;IF(Table1[[#This Row],[Level2]]&lt;&gt;""," &gt; "&amp;Table1[[#This Row],[Level2]],"")</f>
        <v>Hem &amp; Trädgård &gt; Skadedjur &amp; skydd</v>
      </c>
      <c r="P371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Skadedjur &amp; skydd &gt; Fågelskydd &amp; djurskrämmor</v>
      </c>
      <c r="Q371" s="6" t="s">
        <v>587</v>
      </c>
    </row>
    <row r="372" spans="1:17" x14ac:dyDescent="0.25">
      <c r="A372" s="1" t="s">
        <v>8</v>
      </c>
      <c r="B37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hem-och-tradgard-skadedjur-och-skydd-forebyggande-skydd</v>
      </c>
      <c r="C372" s="3" t="s">
        <v>146</v>
      </c>
      <c r="D372" s="3" t="s">
        <v>461</v>
      </c>
      <c r="E372" s="3" t="s">
        <v>178</v>
      </c>
      <c r="F372" s="3"/>
      <c r="G372" s="4" t="b">
        <v>1</v>
      </c>
      <c r="H372" s="5"/>
      <c r="I372" s="4" t="b">
        <v>1</v>
      </c>
      <c r="J372" s="5"/>
      <c r="K372" s="5"/>
      <c r="L372" s="5"/>
      <c r="M372" s="5"/>
      <c r="N372" s="2" t="str">
        <f>Table1[[#This Row],[Level1]]</f>
        <v>Hem &amp; Trädgård</v>
      </c>
      <c r="O372" s="2" t="str">
        <f>Table1[[#This Row],[Level1]]
&amp;IF(Table1[[#This Row],[Level2]]&lt;&gt;""," &gt; "&amp;Table1[[#This Row],[Level2]],"")</f>
        <v>Hem &amp; Trädgård &gt; Skadedjur &amp; skydd</v>
      </c>
      <c r="P372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Skadedjur &amp; skydd &gt; Förebyggande skydd</v>
      </c>
      <c r="Q372" s="6" t="s">
        <v>588</v>
      </c>
    </row>
    <row r="373" spans="1:17" x14ac:dyDescent="0.25">
      <c r="A373" s="1" t="s">
        <v>8</v>
      </c>
      <c r="B37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hem-och-tradgard-skadedjur-och-skydd-skadedjur-och-insekter</v>
      </c>
      <c r="C373" s="3" t="s">
        <v>146</v>
      </c>
      <c r="D373" s="3" t="s">
        <v>461</v>
      </c>
      <c r="E373" s="3" t="s">
        <v>423</v>
      </c>
      <c r="F373" s="3"/>
      <c r="G373" s="4" t="b">
        <v>1</v>
      </c>
      <c r="H373" s="5"/>
      <c r="I373" s="4" t="b">
        <v>1</v>
      </c>
      <c r="J373" s="5"/>
      <c r="K373" s="5"/>
      <c r="L373" s="5"/>
      <c r="M373" s="5"/>
      <c r="N373" s="2" t="str">
        <f>Table1[[#This Row],[Level1]]</f>
        <v>Hem &amp; Trädgård</v>
      </c>
      <c r="O373" s="2" t="str">
        <f>Table1[[#This Row],[Level1]]
&amp;IF(Table1[[#This Row],[Level2]]&lt;&gt;""," &gt; "&amp;Table1[[#This Row],[Level2]],"")</f>
        <v>Hem &amp; Trädgård &gt; Skadedjur &amp; skydd</v>
      </c>
      <c r="P373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Skadedjur &amp; skydd &gt; Skadedjur &amp; insekter</v>
      </c>
      <c r="Q373" s="6" t="s">
        <v>589</v>
      </c>
    </row>
    <row r="374" spans="1:17" x14ac:dyDescent="0.25">
      <c r="A374" s="1" t="s">
        <v>8</v>
      </c>
      <c r="B37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hem-och-tradgard-skadedjur-och-skydd-skyddsnat-tackning-och-barriarer</v>
      </c>
      <c r="C374" s="3" t="s">
        <v>146</v>
      </c>
      <c r="D374" s="3" t="s">
        <v>461</v>
      </c>
      <c r="E374" s="3" t="s">
        <v>177</v>
      </c>
      <c r="F374" s="3"/>
      <c r="G374" s="4" t="b">
        <v>1</v>
      </c>
      <c r="H374" s="5"/>
      <c r="I374" s="4" t="b">
        <v>1</v>
      </c>
      <c r="J374" s="5"/>
      <c r="K374" s="5"/>
      <c r="L374" s="5"/>
      <c r="M374" s="5"/>
      <c r="N374" s="2" t="str">
        <f>Table1[[#This Row],[Level1]]</f>
        <v>Hem &amp; Trädgård</v>
      </c>
      <c r="O374" s="2" t="str">
        <f>Table1[[#This Row],[Level1]]
&amp;IF(Table1[[#This Row],[Level2]]&lt;&gt;""," &gt; "&amp;Table1[[#This Row],[Level2]],"")</f>
        <v>Hem &amp; Trädgård &gt; Skadedjur &amp; skydd</v>
      </c>
      <c r="P374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Skadedjur &amp; skydd &gt; Skyddsnät, täckning &amp; barriärer</v>
      </c>
      <c r="Q374" s="6" t="s">
        <v>590</v>
      </c>
    </row>
    <row r="375" spans="1:17" x14ac:dyDescent="0.25">
      <c r="A375" s="1" t="s">
        <v>8</v>
      </c>
      <c r="B37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halsa-och-skonhet-skonhetsprodukter</v>
      </c>
      <c r="C375" s="3" t="s">
        <v>14</v>
      </c>
      <c r="D375" s="3" t="s">
        <v>15</v>
      </c>
      <c r="E375" s="3"/>
      <c r="F375" s="3"/>
      <c r="G375" s="4" t="b">
        <v>1</v>
      </c>
      <c r="H375" s="5"/>
      <c r="I375" s="4" t="b">
        <v>1</v>
      </c>
      <c r="J375" s="5"/>
      <c r="K375" s="5"/>
      <c r="L375" s="5"/>
      <c r="M375" s="5"/>
      <c r="N375" s="2" t="str">
        <f>Table1[[#This Row],[Level1]]</f>
        <v>Hälsa &amp; Skönhet</v>
      </c>
      <c r="O375" s="2" t="str">
        <f>Table1[[#This Row],[Level1]]
&amp;IF(Table1[[#This Row],[Level2]]&lt;&gt;""," &gt; "&amp;Table1[[#This Row],[Level2]],"")</f>
        <v>Hälsa &amp; Skönhet &gt; Skönhetsprodukter</v>
      </c>
      <c r="P375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Skönhetsprodukter</v>
      </c>
      <c r="Q375" s="6" t="s">
        <v>905</v>
      </c>
    </row>
    <row r="376" spans="1:17" x14ac:dyDescent="0.25">
      <c r="A376" s="1" t="s">
        <v>8</v>
      </c>
      <c r="B37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halsa-och-skonhet-skonhetsprodukter-fotvard</v>
      </c>
      <c r="C376" s="3" t="s">
        <v>14</v>
      </c>
      <c r="D376" s="3" t="s">
        <v>15</v>
      </c>
      <c r="E376" s="3" t="s">
        <v>17</v>
      </c>
      <c r="F376" s="3"/>
      <c r="G376" s="4" t="b">
        <v>1</v>
      </c>
      <c r="H376" s="5"/>
      <c r="I376" s="4" t="b">
        <v>1</v>
      </c>
      <c r="J376" s="5"/>
      <c r="K376" s="5"/>
      <c r="L376" s="5"/>
      <c r="M376" s="5"/>
      <c r="N376" s="2" t="str">
        <f>Table1[[#This Row],[Level1]]</f>
        <v>Hälsa &amp; Skönhet</v>
      </c>
      <c r="O376" s="2" t="str">
        <f>Table1[[#This Row],[Level1]]
&amp;IF(Table1[[#This Row],[Level2]]&lt;&gt;""," &gt; "&amp;Table1[[#This Row],[Level2]],"")</f>
        <v>Hälsa &amp; Skönhet &gt; Skönhetsprodukter</v>
      </c>
      <c r="P376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Skönhetsprodukter &gt; Fotvård</v>
      </c>
      <c r="Q376" s="6" t="s">
        <v>555</v>
      </c>
    </row>
    <row r="377" spans="1:17" x14ac:dyDescent="0.25">
      <c r="A377" s="1" t="s">
        <v>8</v>
      </c>
      <c r="B37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halsa-och-skonhet-skonhetsprodukter-harvard</v>
      </c>
      <c r="C377" s="3" t="s">
        <v>14</v>
      </c>
      <c r="D377" s="3" t="s">
        <v>15</v>
      </c>
      <c r="E377" s="3" t="s">
        <v>18</v>
      </c>
      <c r="F377" s="3"/>
      <c r="G377" s="4" t="b">
        <v>1</v>
      </c>
      <c r="H377" s="5"/>
      <c r="I377" s="4" t="b">
        <v>1</v>
      </c>
      <c r="J377" s="5"/>
      <c r="K377" s="5"/>
      <c r="L377" s="5"/>
      <c r="M377" s="5"/>
      <c r="N377" s="2" t="str">
        <f>Table1[[#This Row],[Level1]]</f>
        <v>Hälsa &amp; Skönhet</v>
      </c>
      <c r="O377" s="2" t="str">
        <f>Table1[[#This Row],[Level1]]
&amp;IF(Table1[[#This Row],[Level2]]&lt;&gt;""," &gt; "&amp;Table1[[#This Row],[Level2]],"")</f>
        <v>Hälsa &amp; Skönhet &gt; Skönhetsprodukter</v>
      </c>
      <c r="P377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Skönhetsprodukter &gt; Hårvård</v>
      </c>
      <c r="Q377" s="6" t="s">
        <v>556</v>
      </c>
    </row>
    <row r="378" spans="1:17" x14ac:dyDescent="0.25">
      <c r="A378" s="1" t="s">
        <v>8</v>
      </c>
      <c r="B37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halsa-och-skonhet-skonhetsprodukter-hudvard</v>
      </c>
      <c r="C378" s="3" t="s">
        <v>14</v>
      </c>
      <c r="D378" s="3" t="s">
        <v>15</v>
      </c>
      <c r="E378" s="3" t="s">
        <v>16</v>
      </c>
      <c r="F378" s="3"/>
      <c r="G378" s="4" t="b">
        <v>1</v>
      </c>
      <c r="H378" s="5"/>
      <c r="I378" s="4" t="b">
        <v>1</v>
      </c>
      <c r="J378" s="5"/>
      <c r="K378" s="5"/>
      <c r="L378" s="5"/>
      <c r="M378" s="5"/>
      <c r="N378" s="2" t="str">
        <f>Table1[[#This Row],[Level1]]</f>
        <v>Hälsa &amp; Skönhet</v>
      </c>
      <c r="O378" s="2" t="str">
        <f>Table1[[#This Row],[Level1]]
&amp;IF(Table1[[#This Row],[Level2]]&lt;&gt;""," &gt; "&amp;Table1[[#This Row],[Level2]],"")</f>
        <v>Hälsa &amp; Skönhet &gt; Skönhetsprodukter</v>
      </c>
      <c r="P378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Skönhetsprodukter &gt; Hudvård</v>
      </c>
      <c r="Q378" s="6" t="s">
        <v>557</v>
      </c>
    </row>
    <row r="379" spans="1:17" x14ac:dyDescent="0.25">
      <c r="A379" s="1" t="s">
        <v>8</v>
      </c>
      <c r="B37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halsa-och-skonhet-skonhetsprodukter-makeup-och-sminktillbehor</v>
      </c>
      <c r="C379" s="3" t="s">
        <v>14</v>
      </c>
      <c r="D379" s="3" t="s">
        <v>15</v>
      </c>
      <c r="E379" s="3" t="s">
        <v>371</v>
      </c>
      <c r="F379" s="3"/>
      <c r="G379" s="4" t="b">
        <v>1</v>
      </c>
      <c r="H379" s="5"/>
      <c r="I379" s="4" t="b">
        <v>1</v>
      </c>
      <c r="J379" s="5"/>
      <c r="K379" s="5"/>
      <c r="L379" s="5"/>
      <c r="M379" s="5"/>
      <c r="N379" s="2" t="str">
        <f>Table1[[#This Row],[Level1]]</f>
        <v>Hälsa &amp; Skönhet</v>
      </c>
      <c r="O379" s="2" t="str">
        <f>Table1[[#This Row],[Level1]]
&amp;IF(Table1[[#This Row],[Level2]]&lt;&gt;""," &gt; "&amp;Table1[[#This Row],[Level2]],"")</f>
        <v>Hälsa &amp; Skönhet &gt; Skönhetsprodukter</v>
      </c>
      <c r="P37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Skönhetsprodukter &gt; Makeup &amp; sminktillbehör</v>
      </c>
      <c r="Q379" s="6" t="s">
        <v>558</v>
      </c>
    </row>
    <row r="380" spans="1:17" x14ac:dyDescent="0.25">
      <c r="A380" s="1" t="s">
        <v>8</v>
      </c>
      <c r="B38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halsa-och-skonhet-skonhetsprodukter-nagelvard</v>
      </c>
      <c r="C380" s="3" t="s">
        <v>14</v>
      </c>
      <c r="D380" s="3" t="s">
        <v>15</v>
      </c>
      <c r="E380" s="3" t="s">
        <v>19</v>
      </c>
      <c r="F380" s="3"/>
      <c r="G380" s="4" t="b">
        <v>1</v>
      </c>
      <c r="H380" s="5"/>
      <c r="I380" s="4" t="b">
        <v>1</v>
      </c>
      <c r="J380" s="5"/>
      <c r="K380" s="5"/>
      <c r="L380" s="5"/>
      <c r="M380" s="5"/>
      <c r="N380" s="2" t="str">
        <f>Table1[[#This Row],[Level1]]</f>
        <v>Hälsa &amp; Skönhet</v>
      </c>
      <c r="O380" s="2" t="str">
        <f>Table1[[#This Row],[Level1]]
&amp;IF(Table1[[#This Row],[Level2]]&lt;&gt;""," &gt; "&amp;Table1[[#This Row],[Level2]],"")</f>
        <v>Hälsa &amp; Skönhet &gt; Skönhetsprodukter</v>
      </c>
      <c r="P380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Skönhetsprodukter &gt; Nagelvård</v>
      </c>
      <c r="Q380" s="6" t="s">
        <v>559</v>
      </c>
    </row>
    <row r="381" spans="1:17" x14ac:dyDescent="0.25">
      <c r="A381" s="1" t="s">
        <v>8</v>
      </c>
      <c r="B38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mode-och-accessoarer-skor-och-skotillbehor-bad-och-strandskor</v>
      </c>
      <c r="C381" s="3" t="s">
        <v>288</v>
      </c>
      <c r="D381" s="3" t="s">
        <v>472</v>
      </c>
      <c r="E381" s="3" t="s">
        <v>308</v>
      </c>
      <c r="F381" s="3"/>
      <c r="G381" s="4" t="b">
        <v>1</v>
      </c>
      <c r="H381" s="5"/>
      <c r="I381" s="4" t="b">
        <v>1</v>
      </c>
      <c r="J381" s="5"/>
      <c r="K381" s="5"/>
      <c r="L381" s="5"/>
      <c r="M381" s="5"/>
      <c r="N381" s="2" t="str">
        <f>Table1[[#This Row],[Level1]]</f>
        <v>Mode &amp; Accessoarer</v>
      </c>
      <c r="O381" s="2" t="str">
        <f>Table1[[#This Row],[Level1]]
&amp;IF(Table1[[#This Row],[Level2]]&lt;&gt;""," &gt; "&amp;Table1[[#This Row],[Level2]],"")</f>
        <v>Mode &amp; Accessoarer &gt; Skor &amp; skotillbehör</v>
      </c>
      <c r="P381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Skor &amp; skotillbehör &gt; Bad- &amp; strandskor</v>
      </c>
      <c r="Q381" s="6" t="s">
        <v>821</v>
      </c>
    </row>
    <row r="382" spans="1:17" x14ac:dyDescent="0.25">
      <c r="A382" s="1" t="s">
        <v>8</v>
      </c>
      <c r="B38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mode-och-accessoarer-skor-och-skotillbehor-halkskydd-och-overdrag</v>
      </c>
      <c r="C382" s="3" t="s">
        <v>288</v>
      </c>
      <c r="D382" s="3" t="s">
        <v>472</v>
      </c>
      <c r="E382" s="3" t="s">
        <v>310</v>
      </c>
      <c r="F382" s="3"/>
      <c r="G382" s="4" t="b">
        <v>1</v>
      </c>
      <c r="H382" s="5"/>
      <c r="I382" s="4" t="b">
        <v>1</v>
      </c>
      <c r="J382" s="5"/>
      <c r="K382" s="5"/>
      <c r="L382" s="5"/>
      <c r="M382" s="5"/>
      <c r="N382" s="2" t="str">
        <f>Table1[[#This Row],[Level1]]</f>
        <v>Mode &amp; Accessoarer</v>
      </c>
      <c r="O382" s="2" t="str">
        <f>Table1[[#This Row],[Level1]]
&amp;IF(Table1[[#This Row],[Level2]]&lt;&gt;""," &gt; "&amp;Table1[[#This Row],[Level2]],"")</f>
        <v>Mode &amp; Accessoarer &gt; Skor &amp; skotillbehör</v>
      </c>
      <c r="P38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Skor &amp; skotillbehör &gt; Halkskydd &amp; överdrag</v>
      </c>
      <c r="Q382" s="6" t="s">
        <v>822</v>
      </c>
    </row>
    <row r="383" spans="1:17" x14ac:dyDescent="0.25">
      <c r="A383" s="1" t="s">
        <v>8</v>
      </c>
      <c r="B38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mode-och-accessoarer-skor-och-skotillbehor-ovriga-skotillbehor</v>
      </c>
      <c r="C383" s="3" t="s">
        <v>288</v>
      </c>
      <c r="D383" s="3" t="s">
        <v>472</v>
      </c>
      <c r="E383" s="3" t="s">
        <v>311</v>
      </c>
      <c r="F383" s="3"/>
      <c r="G383" s="4" t="b">
        <v>1</v>
      </c>
      <c r="H383" s="5"/>
      <c r="I383" s="4" t="b">
        <v>1</v>
      </c>
      <c r="J383" s="5"/>
      <c r="K383" s="5"/>
      <c r="L383" s="5"/>
      <c r="M383" s="5"/>
      <c r="N383" s="2" t="str">
        <f>Table1[[#This Row],[Level1]]</f>
        <v>Mode &amp; Accessoarer</v>
      </c>
      <c r="O383" s="2" t="str">
        <f>Table1[[#This Row],[Level1]]
&amp;IF(Table1[[#This Row],[Level2]]&lt;&gt;""," &gt; "&amp;Table1[[#This Row],[Level2]],"")</f>
        <v>Mode &amp; Accessoarer &gt; Skor &amp; skotillbehör</v>
      </c>
      <c r="P383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Skor &amp; skotillbehör &gt; Övriga skotillbehör</v>
      </c>
      <c r="Q383" s="6" t="s">
        <v>823</v>
      </c>
    </row>
    <row r="384" spans="1:17" x14ac:dyDescent="0.25">
      <c r="A384" s="1" t="s">
        <v>8</v>
      </c>
      <c r="B38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mode-och-accessoarer-skor-och-skotillbehor-skoinlagg-och-sulor</v>
      </c>
      <c r="C384" s="3" t="s">
        <v>288</v>
      </c>
      <c r="D384" s="3" t="s">
        <v>472</v>
      </c>
      <c r="E384" s="3" t="s">
        <v>309</v>
      </c>
      <c r="F384" s="3"/>
      <c r="G384" s="4" t="b">
        <v>1</v>
      </c>
      <c r="H384" s="5"/>
      <c r="I384" s="4" t="b">
        <v>1</v>
      </c>
      <c r="J384" s="5"/>
      <c r="K384" s="5"/>
      <c r="L384" s="5"/>
      <c r="M384" s="5"/>
      <c r="N384" s="2" t="str">
        <f>Table1[[#This Row],[Level1]]</f>
        <v>Mode &amp; Accessoarer</v>
      </c>
      <c r="O384" s="2" t="str">
        <f>Table1[[#This Row],[Level1]]
&amp;IF(Table1[[#This Row],[Level2]]&lt;&gt;""," &gt; "&amp;Table1[[#This Row],[Level2]],"")</f>
        <v>Mode &amp; Accessoarer &gt; Skor &amp; skotillbehör</v>
      </c>
      <c r="P38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Skor &amp; skotillbehör &gt; Skoinlägg &amp; sulor</v>
      </c>
      <c r="Q384" s="6" t="s">
        <v>824</v>
      </c>
    </row>
    <row r="385" spans="1:17" x14ac:dyDescent="0.25">
      <c r="A385" s="1" t="s">
        <v>8</v>
      </c>
      <c r="B38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mode-och-accessoarer-skor-och-skotillbehor-skor</v>
      </c>
      <c r="C385" s="3" t="s">
        <v>288</v>
      </c>
      <c r="D385" s="3" t="s">
        <v>472</v>
      </c>
      <c r="E385" s="3" t="s">
        <v>306</v>
      </c>
      <c r="F385" s="3"/>
      <c r="G385" s="4" t="b">
        <v>1</v>
      </c>
      <c r="H385" s="5"/>
      <c r="I385" s="4" t="b">
        <v>1</v>
      </c>
      <c r="J385" s="5"/>
      <c r="K385" s="5"/>
      <c r="L385" s="5"/>
      <c r="M385" s="5"/>
      <c r="N385" s="2" t="str">
        <f>Table1[[#This Row],[Level1]]</f>
        <v>Mode &amp; Accessoarer</v>
      </c>
      <c r="O385" s="2" t="str">
        <f>Table1[[#This Row],[Level1]]
&amp;IF(Table1[[#This Row],[Level2]]&lt;&gt;""," &gt; "&amp;Table1[[#This Row],[Level2]],"")</f>
        <v>Mode &amp; Accessoarer &gt; Skor &amp; skotillbehör</v>
      </c>
      <c r="P38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Skor &amp; skotillbehör &gt; Skor</v>
      </c>
      <c r="Q385" s="6" t="s">
        <v>825</v>
      </c>
    </row>
    <row r="386" spans="1:17" x14ac:dyDescent="0.25">
      <c r="A386" s="1" t="s">
        <v>8</v>
      </c>
      <c r="B38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mode-och-accessoarer-skor-och-skotillbehor-tofflor-och-inneskor</v>
      </c>
      <c r="C386" s="3" t="s">
        <v>288</v>
      </c>
      <c r="D386" s="3" t="s">
        <v>472</v>
      </c>
      <c r="E386" s="3" t="s">
        <v>307</v>
      </c>
      <c r="F386" s="3"/>
      <c r="G386" s="4" t="b">
        <v>1</v>
      </c>
      <c r="H386" s="5"/>
      <c r="I386" s="4" t="b">
        <v>1</v>
      </c>
      <c r="J386" s="5"/>
      <c r="K386" s="5"/>
      <c r="L386" s="5"/>
      <c r="M386" s="5"/>
      <c r="N386" s="2" t="str">
        <f>Table1[[#This Row],[Level1]]</f>
        <v>Mode &amp; Accessoarer</v>
      </c>
      <c r="O386" s="2" t="str">
        <f>Table1[[#This Row],[Level1]]
&amp;IF(Table1[[#This Row],[Level2]]&lt;&gt;""," &gt; "&amp;Table1[[#This Row],[Level2]],"")</f>
        <v>Mode &amp; Accessoarer &gt; Skor &amp; skotillbehör</v>
      </c>
      <c r="P386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Skor &amp; skotillbehör &gt; Tofflor &amp; inneskor</v>
      </c>
      <c r="Q386" s="6" t="s">
        <v>826</v>
      </c>
    </row>
    <row r="387" spans="1:17" x14ac:dyDescent="0.25">
      <c r="A387" s="1" t="s">
        <v>8</v>
      </c>
      <c r="B38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hem-och-tradgard-smarta-hem-energimatare</v>
      </c>
      <c r="C387" s="3" t="s">
        <v>146</v>
      </c>
      <c r="D387" s="3" t="s">
        <v>158</v>
      </c>
      <c r="E387" s="3" t="s">
        <v>162</v>
      </c>
      <c r="F387" s="3"/>
      <c r="G387" s="4" t="b">
        <v>1</v>
      </c>
      <c r="H387" s="5"/>
      <c r="I387" s="4" t="b">
        <v>1</v>
      </c>
      <c r="J387" s="5"/>
      <c r="K387" s="5"/>
      <c r="L387" s="5"/>
      <c r="M387" s="5"/>
      <c r="N387" s="2" t="str">
        <f>Table1[[#This Row],[Level1]]</f>
        <v>Hem &amp; Trädgård</v>
      </c>
      <c r="O387" s="2" t="str">
        <f>Table1[[#This Row],[Level1]]
&amp;IF(Table1[[#This Row],[Level2]]&lt;&gt;""," &gt; "&amp;Table1[[#This Row],[Level2]],"")</f>
        <v>Hem &amp; Trädgård &gt; Smarta hem</v>
      </c>
      <c r="P387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Smarta hem &gt; Energimätare</v>
      </c>
      <c r="Q387" s="6" t="s">
        <v>591</v>
      </c>
    </row>
    <row r="388" spans="1:17" x14ac:dyDescent="0.25">
      <c r="A388" s="1" t="s">
        <v>8</v>
      </c>
      <c r="B38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hem-och-tradgard-smarta-hem-smart-plugs-och-brytare</v>
      </c>
      <c r="C388" s="3" t="s">
        <v>146</v>
      </c>
      <c r="D388" s="3" t="s">
        <v>158</v>
      </c>
      <c r="E388" s="3" t="s">
        <v>159</v>
      </c>
      <c r="F388" s="3"/>
      <c r="G388" s="4" t="b">
        <v>1</v>
      </c>
      <c r="H388" s="5"/>
      <c r="I388" s="4" t="b">
        <v>1</v>
      </c>
      <c r="J388" s="5"/>
      <c r="K388" s="5"/>
      <c r="L388" s="5"/>
      <c r="M388" s="5"/>
      <c r="N388" s="2" t="str">
        <f>Table1[[#This Row],[Level1]]</f>
        <v>Hem &amp; Trädgård</v>
      </c>
      <c r="O388" s="2" t="str">
        <f>Table1[[#This Row],[Level1]]
&amp;IF(Table1[[#This Row],[Level2]]&lt;&gt;""," &gt; "&amp;Table1[[#This Row],[Level2]],"")</f>
        <v>Hem &amp; Trädgård &gt; Smarta hem</v>
      </c>
      <c r="P388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Smarta hem &gt; Smart plugs &amp; brytare</v>
      </c>
      <c r="Q388" s="6" t="s">
        <v>593</v>
      </c>
    </row>
    <row r="389" spans="1:17" x14ac:dyDescent="0.25">
      <c r="A389" s="1" t="s">
        <v>8</v>
      </c>
      <c r="B38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hem-och-tradgard-smarta-hem-smarta-dorrklockor</v>
      </c>
      <c r="C389" s="3" t="s">
        <v>146</v>
      </c>
      <c r="D389" s="3" t="s">
        <v>158</v>
      </c>
      <c r="E389" s="3" t="s">
        <v>161</v>
      </c>
      <c r="F389" s="3"/>
      <c r="G389" s="4" t="b">
        <v>1</v>
      </c>
      <c r="H389" s="5"/>
      <c r="I389" s="4" t="b">
        <v>1</v>
      </c>
      <c r="J389" s="5"/>
      <c r="K389" s="5"/>
      <c r="L389" s="5"/>
      <c r="M389" s="5"/>
      <c r="N389" s="2" t="str">
        <f>Table1[[#This Row],[Level1]]</f>
        <v>Hem &amp; Trädgård</v>
      </c>
      <c r="O389" s="2" t="str">
        <f>Table1[[#This Row],[Level1]]
&amp;IF(Table1[[#This Row],[Level2]]&lt;&gt;""," &gt; "&amp;Table1[[#This Row],[Level2]],"")</f>
        <v>Hem &amp; Trädgård &gt; Smarta hem</v>
      </c>
      <c r="P389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Smarta hem &gt; Smarta dörrklockor</v>
      </c>
      <c r="Q389" s="6" t="s">
        <v>594</v>
      </c>
    </row>
    <row r="390" spans="1:17" x14ac:dyDescent="0.25">
      <c r="A390" s="1" t="s">
        <v>8</v>
      </c>
      <c r="B39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hem-och-tradgard-smarta-hem-smarta-hem-system</v>
      </c>
      <c r="C390" s="3" t="s">
        <v>146</v>
      </c>
      <c r="D390" s="3" t="s">
        <v>158</v>
      </c>
      <c r="E390" s="3" t="s">
        <v>163</v>
      </c>
      <c r="F390" s="3"/>
      <c r="G390" s="4" t="b">
        <v>1</v>
      </c>
      <c r="H390" s="5"/>
      <c r="I390" s="4" t="b">
        <v>1</v>
      </c>
      <c r="J390" s="5"/>
      <c r="K390" s="5"/>
      <c r="L390" s="5"/>
      <c r="M390" s="5"/>
      <c r="N390" s="2" t="str">
        <f>Table1[[#This Row],[Level1]]</f>
        <v>Hem &amp; Trädgård</v>
      </c>
      <c r="O390" s="2" t="str">
        <f>Table1[[#This Row],[Level1]]
&amp;IF(Table1[[#This Row],[Level2]]&lt;&gt;""," &gt; "&amp;Table1[[#This Row],[Level2]],"")</f>
        <v>Hem &amp; Trädgård &gt; Smarta hem</v>
      </c>
      <c r="P390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Smarta hem &gt; Smarta hem-system</v>
      </c>
      <c r="Q390" s="6" t="s">
        <v>595</v>
      </c>
    </row>
    <row r="391" spans="1:17" x14ac:dyDescent="0.25">
      <c r="A391" s="1" t="s">
        <v>8</v>
      </c>
      <c r="B39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hem-och-tradgard-smarta-hem-smarta-sensorer</v>
      </c>
      <c r="C391" s="3" t="s">
        <v>146</v>
      </c>
      <c r="D391" s="3" t="s">
        <v>158</v>
      </c>
      <c r="E391" s="3" t="s">
        <v>160</v>
      </c>
      <c r="F391" s="3"/>
      <c r="G391" s="4" t="b">
        <v>1</v>
      </c>
      <c r="H391" s="5"/>
      <c r="I391" s="4" t="b">
        <v>1</v>
      </c>
      <c r="J391" s="5"/>
      <c r="K391" s="5"/>
      <c r="L391" s="5"/>
      <c r="M391" s="5"/>
      <c r="N391" s="2" t="str">
        <f>Table1[[#This Row],[Level1]]</f>
        <v>Hem &amp; Trädgård</v>
      </c>
      <c r="O391" s="2" t="str">
        <f>Table1[[#This Row],[Level1]]
&amp;IF(Table1[[#This Row],[Level2]]&lt;&gt;""," &gt; "&amp;Table1[[#This Row],[Level2]],"")</f>
        <v>Hem &amp; Trädgård &gt; Smarta hem</v>
      </c>
      <c r="P391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Smarta hem &gt; Smarta sensorer</v>
      </c>
      <c r="Q391" s="6" t="s">
        <v>596</v>
      </c>
    </row>
    <row r="392" spans="1:17" x14ac:dyDescent="0.25">
      <c r="A392" s="1" t="s">
        <v>8</v>
      </c>
      <c r="B39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hemelektronik-smartphone-och-surfplattor-dockor-stativ-och-hallare</v>
      </c>
      <c r="C392" s="3" t="s">
        <v>331</v>
      </c>
      <c r="D392" s="3" t="s">
        <v>483</v>
      </c>
      <c r="E392" s="3" t="s">
        <v>366</v>
      </c>
      <c r="F392" s="3"/>
      <c r="G392" s="4" t="b">
        <v>1</v>
      </c>
      <c r="H392" s="5"/>
      <c r="I392" s="4" t="b">
        <v>1</v>
      </c>
      <c r="J392" s="5"/>
      <c r="K392" s="5"/>
      <c r="L392" s="5"/>
      <c r="M392" s="5"/>
      <c r="N392" s="2" t="str">
        <f>Table1[[#This Row],[Level1]]</f>
        <v>Hemelektronik</v>
      </c>
      <c r="O392" s="2" t="str">
        <f>Table1[[#This Row],[Level1]]
&amp;IF(Table1[[#This Row],[Level2]]&lt;&gt;""," &gt; "&amp;Table1[[#This Row],[Level2]],"")</f>
        <v>Hemelektronik &gt; Smartphone &amp; surfplattor</v>
      </c>
      <c r="P392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Dockor, stativ &amp; hållare</v>
      </c>
      <c r="Q392" s="6" t="s">
        <v>644</v>
      </c>
    </row>
    <row r="393" spans="1:17" x14ac:dyDescent="0.25">
      <c r="A393" s="1" t="s">
        <v>8</v>
      </c>
      <c r="B39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hemelektronik-smartphone-och-surfplattor-reservdelar-och-batterier</v>
      </c>
      <c r="C393" s="3" t="s">
        <v>331</v>
      </c>
      <c r="D393" s="3" t="s">
        <v>483</v>
      </c>
      <c r="E393" s="3" t="s">
        <v>369</v>
      </c>
      <c r="F393" s="3"/>
      <c r="G393" s="4" t="b">
        <v>1</v>
      </c>
      <c r="H393" s="5"/>
      <c r="I393" s="4" t="b">
        <v>1</v>
      </c>
      <c r="J393" s="5"/>
      <c r="K393" s="5"/>
      <c r="L393" s="5"/>
      <c r="M393" s="5"/>
      <c r="N393" s="2" t="str">
        <f>Table1[[#This Row],[Level1]]</f>
        <v>Hemelektronik</v>
      </c>
      <c r="O393" s="2" t="str">
        <f>Table1[[#This Row],[Level1]]
&amp;IF(Table1[[#This Row],[Level2]]&lt;&gt;""," &gt; "&amp;Table1[[#This Row],[Level2]],"")</f>
        <v>Hemelektronik &gt; Smartphone &amp; surfplattor</v>
      </c>
      <c r="P393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Reservdelar &amp; batterier</v>
      </c>
      <c r="Q393" s="6" t="s">
        <v>647</v>
      </c>
    </row>
    <row r="394" spans="1:17" x14ac:dyDescent="0.25">
      <c r="A394" s="1" t="s">
        <v>8</v>
      </c>
      <c r="B39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hemelektronik-smartphone-och-surfplattor-skydd-och-fodral-(mobil)</v>
      </c>
      <c r="C394" s="3" t="s">
        <v>331</v>
      </c>
      <c r="D394" s="3" t="s">
        <v>483</v>
      </c>
      <c r="E394" s="3" t="s">
        <v>364</v>
      </c>
      <c r="F394" s="3"/>
      <c r="G394" s="4" t="b">
        <v>1</v>
      </c>
      <c r="H394" s="5"/>
      <c r="I394" s="4" t="b">
        <v>1</v>
      </c>
      <c r="J394" s="5"/>
      <c r="K394" s="5"/>
      <c r="L394" s="5"/>
      <c r="M394" s="5"/>
      <c r="N394" s="2" t="str">
        <f>Table1[[#This Row],[Level1]]</f>
        <v>Hemelektronik</v>
      </c>
      <c r="O394" s="2" t="str">
        <f>Table1[[#This Row],[Level1]]
&amp;IF(Table1[[#This Row],[Level2]]&lt;&gt;""," &gt; "&amp;Table1[[#This Row],[Level2]],"")</f>
        <v>Hemelektronik &gt; Smartphone &amp; surfplattor</v>
      </c>
      <c r="P394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Skydd &amp; fodral (mobil)</v>
      </c>
      <c r="Q394" s="6" t="s">
        <v>648</v>
      </c>
    </row>
    <row r="395" spans="1:17" x14ac:dyDescent="0.25">
      <c r="A395" s="1" t="s">
        <v>8</v>
      </c>
      <c r="B39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hemelektronik-smartphone-och-surfplattor-skydd-och-fodral-(surfplatta)</v>
      </c>
      <c r="C395" s="3" t="s">
        <v>331</v>
      </c>
      <c r="D395" s="3" t="s">
        <v>483</v>
      </c>
      <c r="E395" s="3" t="s">
        <v>365</v>
      </c>
      <c r="F395" s="3"/>
      <c r="G395" s="4" t="b">
        <v>1</v>
      </c>
      <c r="H395" s="5"/>
      <c r="I395" s="4" t="b">
        <v>1</v>
      </c>
      <c r="J395" s="5"/>
      <c r="K395" s="5"/>
      <c r="L395" s="5"/>
      <c r="M395" s="5"/>
      <c r="N395" s="2" t="str">
        <f>Table1[[#This Row],[Level1]]</f>
        <v>Hemelektronik</v>
      </c>
      <c r="O395" s="2" t="str">
        <f>Table1[[#This Row],[Level1]]
&amp;IF(Table1[[#This Row],[Level2]]&lt;&gt;""," &gt; "&amp;Table1[[#This Row],[Level2]],"")</f>
        <v>Hemelektronik &gt; Smartphone &amp; surfplattor</v>
      </c>
      <c r="P395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Skydd &amp; fodral (surfplatta)</v>
      </c>
      <c r="Q395" s="6" t="s">
        <v>649</v>
      </c>
    </row>
    <row r="396" spans="1:17" x14ac:dyDescent="0.25">
      <c r="A396" s="1" t="s">
        <v>8</v>
      </c>
      <c r="B39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hemelektronik-smartphone-och-surfplattor-sportarmband-och-vaskor</v>
      </c>
      <c r="C396" s="3" t="s">
        <v>331</v>
      </c>
      <c r="D396" s="3" t="s">
        <v>483</v>
      </c>
      <c r="E396" s="3" t="s">
        <v>368</v>
      </c>
      <c r="F396" s="3"/>
      <c r="G396" s="4" t="b">
        <v>1</v>
      </c>
      <c r="H396" s="5"/>
      <c r="I396" s="4" t="b">
        <v>1</v>
      </c>
      <c r="J396" s="5"/>
      <c r="K396" s="5"/>
      <c r="L396" s="5"/>
      <c r="M396" s="5"/>
      <c r="N396" s="2" t="str">
        <f>Table1[[#This Row],[Level1]]</f>
        <v>Hemelektronik</v>
      </c>
      <c r="O396" s="2" t="str">
        <f>Table1[[#This Row],[Level1]]
&amp;IF(Table1[[#This Row],[Level2]]&lt;&gt;""," &gt; "&amp;Table1[[#This Row],[Level2]],"")</f>
        <v>Hemelektronik &gt; Smartphone &amp; surfplattor</v>
      </c>
      <c r="P396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Sportarmband &amp; väskor</v>
      </c>
      <c r="Q396" s="6" t="s">
        <v>650</v>
      </c>
    </row>
    <row r="397" spans="1:17" x14ac:dyDescent="0.25">
      <c r="A397" s="1" t="s">
        <v>8</v>
      </c>
      <c r="B39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hemelektronik-smartphone-och-surfplattor-styluspennor-och-gadgets</v>
      </c>
      <c r="C397" s="3" t="s">
        <v>331</v>
      </c>
      <c r="D397" s="3" t="s">
        <v>483</v>
      </c>
      <c r="E397" s="3" t="s">
        <v>367</v>
      </c>
      <c r="F397" s="3"/>
      <c r="G397" s="4" t="b">
        <v>1</v>
      </c>
      <c r="H397" s="5"/>
      <c r="I397" s="4" t="b">
        <v>1</v>
      </c>
      <c r="J397" s="5"/>
      <c r="K397" s="5"/>
      <c r="L397" s="5"/>
      <c r="M397" s="5"/>
      <c r="N397" s="2" t="str">
        <f>Table1[[#This Row],[Level1]]</f>
        <v>Hemelektronik</v>
      </c>
      <c r="O397" s="2" t="str">
        <f>Table1[[#This Row],[Level1]]
&amp;IF(Table1[[#This Row],[Level2]]&lt;&gt;""," &gt; "&amp;Table1[[#This Row],[Level2]],"")</f>
        <v>Hemelektronik &gt; Smartphone &amp; surfplattor</v>
      </c>
      <c r="P397" s="2" t="str">
        <f>Table1[[#This Row],[Level1]]
&amp;IF(Table1[[#This Row],[Level2]]&lt;&gt;""," &gt; "&amp;Table1[[#This Row],[Level2]],"")
&amp;IF(Table1[[#This Row],[Level3]]&lt;&gt;""," &gt; "&amp;Table1[[#This Row],[Level3]],"")</f>
        <v>Hemelektronik &gt; Smartphone &amp; surfplattor &gt; Styluspennor &amp; gadgets</v>
      </c>
      <c r="Q397" s="6" t="s">
        <v>651</v>
      </c>
    </row>
    <row r="398" spans="1:17" x14ac:dyDescent="0.25">
      <c r="A398" s="1" t="s">
        <v>8</v>
      </c>
      <c r="B39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mode-och-accessoarer-smycken-och-forvaring-smycken</v>
      </c>
      <c r="C398" s="3" t="s">
        <v>288</v>
      </c>
      <c r="D398" s="3" t="s">
        <v>471</v>
      </c>
      <c r="E398" s="3" t="s">
        <v>305</v>
      </c>
      <c r="F398" s="3"/>
      <c r="G398" s="4" t="b">
        <v>1</v>
      </c>
      <c r="H398" s="5"/>
      <c r="I398" s="4" t="b">
        <v>1</v>
      </c>
      <c r="J398" s="5"/>
      <c r="K398" s="5"/>
      <c r="L398" s="5"/>
      <c r="M398" s="5"/>
      <c r="N398" s="2" t="str">
        <f>Table1[[#This Row],[Level1]]</f>
        <v>Mode &amp; Accessoarer</v>
      </c>
      <c r="O398" s="2" t="str">
        <f>Table1[[#This Row],[Level1]]
&amp;IF(Table1[[#This Row],[Level2]]&lt;&gt;""," &gt; "&amp;Table1[[#This Row],[Level2]],"")</f>
        <v>Mode &amp; Accessoarer &gt; Smycken &amp; förvaring</v>
      </c>
      <c r="P398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Smycken &amp; förvaring &gt; Smycken</v>
      </c>
      <c r="Q398" s="6" t="s">
        <v>827</v>
      </c>
    </row>
    <row r="399" spans="1:17" x14ac:dyDescent="0.25">
      <c r="A399" s="1" t="s">
        <v>8</v>
      </c>
      <c r="B39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mode-och-accessoarer-smycken-och-forvaring-smyckesforvaring</v>
      </c>
      <c r="C399" s="3" t="s">
        <v>288</v>
      </c>
      <c r="D399" s="3" t="s">
        <v>471</v>
      </c>
      <c r="E399" s="3" t="s">
        <v>304</v>
      </c>
      <c r="F399" s="3"/>
      <c r="G399" s="4" t="b">
        <v>1</v>
      </c>
      <c r="H399" s="5"/>
      <c r="I399" s="4" t="b">
        <v>1</v>
      </c>
      <c r="J399" s="5"/>
      <c r="K399" s="5"/>
      <c r="L399" s="5"/>
      <c r="M399" s="5"/>
      <c r="N399" s="2" t="str">
        <f>Table1[[#This Row],[Level1]]</f>
        <v>Mode &amp; Accessoarer</v>
      </c>
      <c r="O399" s="2" t="str">
        <f>Table1[[#This Row],[Level1]]
&amp;IF(Table1[[#This Row],[Level2]]&lt;&gt;""," &gt; "&amp;Table1[[#This Row],[Level2]],"")</f>
        <v>Mode &amp; Accessoarer &gt; Smycken &amp; förvaring</v>
      </c>
      <c r="P399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Smycken &amp; förvaring &gt; Smyckesförvaring</v>
      </c>
      <c r="Q399" s="6" t="s">
        <v>828</v>
      </c>
    </row>
    <row r="400" spans="1:17" x14ac:dyDescent="0.25">
      <c r="A400" s="1" t="s">
        <v>8</v>
      </c>
      <c r="B40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hemelektronik-spel-och-underhallningstillbehor-nintendo-switch-tillbehor</v>
      </c>
      <c r="C400" s="3" t="s">
        <v>331</v>
      </c>
      <c r="D400" s="3" t="s">
        <v>481</v>
      </c>
      <c r="E400" s="3" t="s">
        <v>448</v>
      </c>
      <c r="F400" s="3"/>
      <c r="G400" s="4" t="b">
        <v>1</v>
      </c>
      <c r="H400" s="5"/>
      <c r="I400" s="4" t="b">
        <v>1</v>
      </c>
      <c r="J400" s="5"/>
      <c r="K400" s="5"/>
      <c r="L400" s="5"/>
      <c r="M400" s="5"/>
      <c r="N400" s="2" t="str">
        <f>Table1[[#This Row],[Level1]]</f>
        <v>Hemelektronik</v>
      </c>
      <c r="O400" s="2" t="str">
        <f>Table1[[#This Row],[Level1]]
&amp;IF(Table1[[#This Row],[Level2]]&lt;&gt;""," &gt; "&amp;Table1[[#This Row],[Level2]],"")</f>
        <v>Hemelektronik &gt; Spel &amp; underhållningstillbehör</v>
      </c>
      <c r="P400" s="2" t="str">
        <f>Table1[[#This Row],[Level1]]
&amp;IF(Table1[[#This Row],[Level2]]&lt;&gt;""," &gt; "&amp;Table1[[#This Row],[Level2]],"")
&amp;IF(Table1[[#This Row],[Level3]]&lt;&gt;""," &gt; "&amp;Table1[[#This Row],[Level3]],"")</f>
        <v>Hemelektronik &gt; Spel &amp; underhållningstillbehör &gt; Nintendo switch-tillbehör</v>
      </c>
      <c r="Q400" s="6" t="s">
        <v>652</v>
      </c>
    </row>
    <row r="401" spans="1:17" x14ac:dyDescent="0.25">
      <c r="A401" s="1" t="s">
        <v>8</v>
      </c>
      <c r="B40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hemelektronik-spel-och-underhallningstillbehor-ovriga-speltillbehor</v>
      </c>
      <c r="C401" s="3" t="s">
        <v>331</v>
      </c>
      <c r="D401" s="3" t="s">
        <v>481</v>
      </c>
      <c r="E401" s="3" t="s">
        <v>359</v>
      </c>
      <c r="F401" s="3"/>
      <c r="G401" s="4" t="b">
        <v>1</v>
      </c>
      <c r="H401" s="5"/>
      <c r="I401" s="4" t="b">
        <v>1</v>
      </c>
      <c r="J401" s="5"/>
      <c r="K401" s="5"/>
      <c r="L401" s="5"/>
      <c r="M401" s="5"/>
      <c r="N401" s="2" t="str">
        <f>Table1[[#This Row],[Level1]]</f>
        <v>Hemelektronik</v>
      </c>
      <c r="O401" s="2" t="str">
        <f>Table1[[#This Row],[Level1]]
&amp;IF(Table1[[#This Row],[Level2]]&lt;&gt;""," &gt; "&amp;Table1[[#This Row],[Level2]],"")</f>
        <v>Hemelektronik &gt; Spel &amp; underhållningstillbehör</v>
      </c>
      <c r="P401" s="2" t="str">
        <f>Table1[[#This Row],[Level1]]
&amp;IF(Table1[[#This Row],[Level2]]&lt;&gt;""," &gt; "&amp;Table1[[#This Row],[Level2]],"")
&amp;IF(Table1[[#This Row],[Level3]]&lt;&gt;""," &gt; "&amp;Table1[[#This Row],[Level3]],"")</f>
        <v>Hemelektronik &gt; Spel &amp; underhållningstillbehör &gt; Övriga speltillbehör</v>
      </c>
      <c r="Q401" s="6" t="s">
        <v>653</v>
      </c>
    </row>
    <row r="402" spans="1:17" x14ac:dyDescent="0.25">
      <c r="A402" s="1" t="s">
        <v>8</v>
      </c>
      <c r="B40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hemelektronik-spel-och-underhallningstillbehor-playstation-tillbehor</v>
      </c>
      <c r="C402" s="3" t="s">
        <v>331</v>
      </c>
      <c r="D402" s="3" t="s">
        <v>481</v>
      </c>
      <c r="E402" s="3" t="s">
        <v>449</v>
      </c>
      <c r="F402" s="3"/>
      <c r="G402" s="4" t="b">
        <v>1</v>
      </c>
      <c r="H402" s="5"/>
      <c r="I402" s="4" t="b">
        <v>1</v>
      </c>
      <c r="J402" s="5"/>
      <c r="K402" s="5"/>
      <c r="L402" s="5"/>
      <c r="M402" s="5"/>
      <c r="N402" s="2" t="str">
        <f>Table1[[#This Row],[Level1]]</f>
        <v>Hemelektronik</v>
      </c>
      <c r="O402" s="2" t="str">
        <f>Table1[[#This Row],[Level1]]
&amp;IF(Table1[[#This Row],[Level2]]&lt;&gt;""," &gt; "&amp;Table1[[#This Row],[Level2]],"")</f>
        <v>Hemelektronik &gt; Spel &amp; underhållningstillbehör</v>
      </c>
      <c r="P402" s="2" t="str">
        <f>Table1[[#This Row],[Level1]]
&amp;IF(Table1[[#This Row],[Level2]]&lt;&gt;""," &gt; "&amp;Table1[[#This Row],[Level2]],"")
&amp;IF(Table1[[#This Row],[Level3]]&lt;&gt;""," &gt; "&amp;Table1[[#This Row],[Level3]],"")</f>
        <v>Hemelektronik &gt; Spel &amp; underhållningstillbehör &gt; Playstation-tillbehör</v>
      </c>
      <c r="Q402" s="6" t="s">
        <v>654</v>
      </c>
    </row>
    <row r="403" spans="1:17" x14ac:dyDescent="0.25">
      <c r="A403" s="1" t="s">
        <v>8</v>
      </c>
      <c r="B40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hemelektronik-spel-och-underhallningstillbehor-retrospel-och-tillbehor</v>
      </c>
      <c r="C403" s="3" t="s">
        <v>331</v>
      </c>
      <c r="D403" s="3" t="s">
        <v>481</v>
      </c>
      <c r="E403" s="3" t="s">
        <v>358</v>
      </c>
      <c r="F403" s="3"/>
      <c r="G403" s="4" t="b">
        <v>1</v>
      </c>
      <c r="H403" s="5"/>
      <c r="I403" s="4" t="b">
        <v>1</v>
      </c>
      <c r="J403" s="5"/>
      <c r="K403" s="5"/>
      <c r="L403" s="5"/>
      <c r="M403" s="5"/>
      <c r="N403" s="2" t="str">
        <f>Table1[[#This Row],[Level1]]</f>
        <v>Hemelektronik</v>
      </c>
      <c r="O403" s="2" t="str">
        <f>Table1[[#This Row],[Level1]]
&amp;IF(Table1[[#This Row],[Level2]]&lt;&gt;""," &gt; "&amp;Table1[[#This Row],[Level2]],"")</f>
        <v>Hemelektronik &gt; Spel &amp; underhållningstillbehör</v>
      </c>
      <c r="P403" s="2" t="str">
        <f>Table1[[#This Row],[Level1]]
&amp;IF(Table1[[#This Row],[Level2]]&lt;&gt;""," &gt; "&amp;Table1[[#This Row],[Level2]],"")
&amp;IF(Table1[[#This Row],[Level3]]&lt;&gt;""," &gt; "&amp;Table1[[#This Row],[Level3]],"")</f>
        <v>Hemelektronik &gt; Spel &amp; underhållningstillbehör &gt; Retrospel &amp; tillbehör</v>
      </c>
      <c r="Q403" s="6" t="s">
        <v>655</v>
      </c>
    </row>
    <row r="404" spans="1:17" x14ac:dyDescent="0.25">
      <c r="A404" s="1" t="s">
        <v>8</v>
      </c>
      <c r="B40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hushall-och-kok-stadprodukter-dammsugare-och-tillbehor</v>
      </c>
      <c r="C404" s="3" t="s">
        <v>484</v>
      </c>
      <c r="D404" s="3" t="s">
        <v>39</v>
      </c>
      <c r="E404" s="3" t="s">
        <v>202</v>
      </c>
      <c r="F404" s="3"/>
      <c r="G404" s="4" t="b">
        <v>1</v>
      </c>
      <c r="H404" s="5"/>
      <c r="I404" s="4" t="b">
        <v>1</v>
      </c>
      <c r="J404" s="5"/>
      <c r="K404" s="5"/>
      <c r="L404" s="5"/>
      <c r="M404" s="5"/>
      <c r="N404" s="2" t="str">
        <f>Table1[[#This Row],[Level1]]</f>
        <v>Hushåll &amp; Kök</v>
      </c>
      <c r="O404" s="2" t="str">
        <f>Table1[[#This Row],[Level1]]
&amp;IF(Table1[[#This Row],[Level2]]&lt;&gt;""," &gt; "&amp;Table1[[#This Row],[Level2]],"")</f>
        <v>Hushåll &amp; Kök &gt; Städprodukter</v>
      </c>
      <c r="P404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 &gt; Dammsugare &amp; tillbehör</v>
      </c>
      <c r="Q404" s="6" t="s">
        <v>788</v>
      </c>
    </row>
    <row r="405" spans="1:17" x14ac:dyDescent="0.25">
      <c r="A405" s="1" t="s">
        <v>8</v>
      </c>
      <c r="B40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hushall-och-kok-stadprodukter-handdammsugare</v>
      </c>
      <c r="C405" s="3" t="s">
        <v>484</v>
      </c>
      <c r="D405" s="3" t="s">
        <v>39</v>
      </c>
      <c r="E405" s="3" t="s">
        <v>40</v>
      </c>
      <c r="F405" s="3"/>
      <c r="G405" s="4" t="b">
        <v>1</v>
      </c>
      <c r="H405" s="5"/>
      <c r="I405" s="4" t="b">
        <v>1</v>
      </c>
      <c r="J405" s="5"/>
      <c r="K405" s="5"/>
      <c r="L405" s="5"/>
      <c r="M405" s="5"/>
      <c r="N405" s="2" t="str">
        <f>Table1[[#This Row],[Level1]]</f>
        <v>Hushåll &amp; Kök</v>
      </c>
      <c r="O405" s="2" t="str">
        <f>Table1[[#This Row],[Level1]]
&amp;IF(Table1[[#This Row],[Level2]]&lt;&gt;""," &gt; "&amp;Table1[[#This Row],[Level2]],"")</f>
        <v>Hushåll &amp; Kök &gt; Städprodukter</v>
      </c>
      <c r="P405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 &gt; Handdammsugare</v>
      </c>
      <c r="Q405" s="6" t="s">
        <v>789</v>
      </c>
    </row>
    <row r="406" spans="1:17" x14ac:dyDescent="0.25">
      <c r="A406" s="1" t="s">
        <v>8</v>
      </c>
      <c r="B40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hushall-och-kok-stadprodukter-ovriga-stadprodukter</v>
      </c>
      <c r="C406" s="3" t="s">
        <v>484</v>
      </c>
      <c r="D406" s="3" t="s">
        <v>39</v>
      </c>
      <c r="E406" s="3" t="s">
        <v>41</v>
      </c>
      <c r="F406" s="3"/>
      <c r="G406" s="4" t="b">
        <v>1</v>
      </c>
      <c r="H406" s="5"/>
      <c r="I406" s="4" t="b">
        <v>1</v>
      </c>
      <c r="J406" s="5"/>
      <c r="K406" s="5"/>
      <c r="L406" s="5"/>
      <c r="M406" s="5"/>
      <c r="N406" s="2" t="str">
        <f>Table1[[#This Row],[Level1]]</f>
        <v>Hushåll &amp; Kök</v>
      </c>
      <c r="O406" s="2" t="str">
        <f>Table1[[#This Row],[Level1]]
&amp;IF(Table1[[#This Row],[Level2]]&lt;&gt;""," &gt; "&amp;Table1[[#This Row],[Level2]],"")</f>
        <v>Hushåll &amp; Kök &gt; Städprodukter</v>
      </c>
      <c r="P406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 &gt; Övriga städprodukter</v>
      </c>
      <c r="Q406" s="6" t="s">
        <v>790</v>
      </c>
    </row>
    <row r="407" spans="1:17" x14ac:dyDescent="0.25">
      <c r="A407" s="1" t="s">
        <v>8</v>
      </c>
      <c r="B40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hushall-och-kok-stadprodukter-rengoring-for-kok-och-grill</v>
      </c>
      <c r="C407" s="3" t="s">
        <v>484</v>
      </c>
      <c r="D407" s="3" t="s">
        <v>39</v>
      </c>
      <c r="E407" s="3" t="s">
        <v>200</v>
      </c>
      <c r="F407" s="3"/>
      <c r="G407" s="4" t="b">
        <v>1</v>
      </c>
      <c r="H407" s="5"/>
      <c r="I407" s="4" t="b">
        <v>1</v>
      </c>
      <c r="J407" s="5"/>
      <c r="K407" s="5"/>
      <c r="L407" s="5"/>
      <c r="M407" s="5"/>
      <c r="N407" s="2" t="str">
        <f>Table1[[#This Row],[Level1]]</f>
        <v>Hushåll &amp; Kök</v>
      </c>
      <c r="O407" s="2" t="str">
        <f>Table1[[#This Row],[Level1]]
&amp;IF(Table1[[#This Row],[Level2]]&lt;&gt;""," &gt; "&amp;Table1[[#This Row],[Level2]],"")</f>
        <v>Hushåll &amp; Kök &gt; Städprodukter</v>
      </c>
      <c r="P407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 &gt; Rengöring för kök &amp; grill</v>
      </c>
      <c r="Q407" s="6" t="s">
        <v>791</v>
      </c>
    </row>
    <row r="408" spans="1:17" x14ac:dyDescent="0.25">
      <c r="A408" s="1" t="s">
        <v>8</v>
      </c>
      <c r="B40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hushall-och-kok-stadprodukter-stadredskap-och-tillbehor</v>
      </c>
      <c r="C408" s="3" t="s">
        <v>484</v>
      </c>
      <c r="D408" s="3" t="s">
        <v>39</v>
      </c>
      <c r="E408" s="3" t="s">
        <v>199</v>
      </c>
      <c r="F408" s="3"/>
      <c r="G408" s="4" t="b">
        <v>1</v>
      </c>
      <c r="H408" s="5"/>
      <c r="I408" s="4" t="b">
        <v>1</v>
      </c>
      <c r="J408" s="5"/>
      <c r="K408" s="5"/>
      <c r="L408" s="5"/>
      <c r="M408" s="5"/>
      <c r="N408" s="2" t="str">
        <f>Table1[[#This Row],[Level1]]</f>
        <v>Hushåll &amp; Kök</v>
      </c>
      <c r="O408" s="2" t="str">
        <f>Table1[[#This Row],[Level1]]
&amp;IF(Table1[[#This Row],[Level2]]&lt;&gt;""," &gt; "&amp;Table1[[#This Row],[Level2]],"")</f>
        <v>Hushåll &amp; Kök &gt; Städprodukter</v>
      </c>
      <c r="P408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 &gt; Städredskap &amp; tillbehör</v>
      </c>
      <c r="Q408" s="6" t="s">
        <v>792</v>
      </c>
    </row>
    <row r="409" spans="1:17" x14ac:dyDescent="0.25">
      <c r="A409" s="1" t="s">
        <v>8</v>
      </c>
      <c r="B40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hushall-och-kok-stadprodukter-svampar-trasor-och-borstar</v>
      </c>
      <c r="C409" s="3" t="s">
        <v>484</v>
      </c>
      <c r="D409" s="3" t="s">
        <v>39</v>
      </c>
      <c r="E409" s="3" t="s">
        <v>203</v>
      </c>
      <c r="F409" s="3"/>
      <c r="G409" s="4" t="b">
        <v>1</v>
      </c>
      <c r="H409" s="5"/>
      <c r="I409" s="4" t="b">
        <v>1</v>
      </c>
      <c r="J409" s="5"/>
      <c r="K409" s="5"/>
      <c r="L409" s="5"/>
      <c r="M409" s="5"/>
      <c r="N409" s="2" t="str">
        <f>Table1[[#This Row],[Level1]]</f>
        <v>Hushåll &amp; Kök</v>
      </c>
      <c r="O409" s="2" t="str">
        <f>Table1[[#This Row],[Level1]]
&amp;IF(Table1[[#This Row],[Level2]]&lt;&gt;""," &gt; "&amp;Table1[[#This Row],[Level2]],"")</f>
        <v>Hushåll &amp; Kök &gt; Städprodukter</v>
      </c>
      <c r="P409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 &gt; Svampar, trasor &amp; borstar</v>
      </c>
      <c r="Q409" s="6" t="s">
        <v>793</v>
      </c>
    </row>
    <row r="410" spans="1:17" x14ac:dyDescent="0.25">
      <c r="A410" s="1" t="s">
        <v>8</v>
      </c>
      <c r="B41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hushall-och-kok-stadprodukter-tvatt-och-kladvard</v>
      </c>
      <c r="C410" s="3" t="s">
        <v>484</v>
      </c>
      <c r="D410" s="3" t="s">
        <v>39</v>
      </c>
      <c r="E410" s="3" t="s">
        <v>201</v>
      </c>
      <c r="F410" s="3"/>
      <c r="G410" s="4" t="b">
        <v>1</v>
      </c>
      <c r="H410" s="5"/>
      <c r="I410" s="4" t="b">
        <v>1</v>
      </c>
      <c r="J410" s="5"/>
      <c r="K410" s="5"/>
      <c r="L410" s="5"/>
      <c r="M410" s="5"/>
      <c r="N410" s="2" t="str">
        <f>Table1[[#This Row],[Level1]]</f>
        <v>Hushåll &amp; Kök</v>
      </c>
      <c r="O410" s="2" t="str">
        <f>Table1[[#This Row],[Level1]]
&amp;IF(Table1[[#This Row],[Level2]]&lt;&gt;""," &gt; "&amp;Table1[[#This Row],[Level2]],"")</f>
        <v>Hushåll &amp; Kök &gt; Städprodukter</v>
      </c>
      <c r="P410" s="2" t="str">
        <f>Table1[[#This Row],[Level1]]
&amp;IF(Table1[[#This Row],[Level2]]&lt;&gt;""," &gt; "&amp;Table1[[#This Row],[Level2]],"")
&amp;IF(Table1[[#This Row],[Level3]]&lt;&gt;""," &gt; "&amp;Table1[[#This Row],[Level3]],"")</f>
        <v>Hushåll &amp; Kök &gt; Städprodukter &gt; Tvätt &amp; klädvård</v>
      </c>
      <c r="Q410" s="6" t="s">
        <v>794</v>
      </c>
    </row>
    <row r="411" spans="1:17" x14ac:dyDescent="0.25">
      <c r="A411" s="1" t="s">
        <v>8</v>
      </c>
      <c r="B41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halsa-och-skonhet-stod-och-rehabilitering-armbagsstod</v>
      </c>
      <c r="C411" s="3" t="s">
        <v>14</v>
      </c>
      <c r="D411" s="3" t="s">
        <v>62</v>
      </c>
      <c r="E411" s="3" t="s">
        <v>63</v>
      </c>
      <c r="F411" s="3"/>
      <c r="G411" s="4" t="b">
        <v>1</v>
      </c>
      <c r="H411" s="5"/>
      <c r="I411" s="4" t="b">
        <v>1</v>
      </c>
      <c r="J411" s="5"/>
      <c r="K411" s="5"/>
      <c r="L411" s="5"/>
      <c r="M411" s="5"/>
      <c r="N411" s="2" t="str">
        <f>Table1[[#This Row],[Level1]]</f>
        <v>Hälsa &amp; Skönhet</v>
      </c>
      <c r="O411" s="2" t="str">
        <f>Table1[[#This Row],[Level1]]
&amp;IF(Table1[[#This Row],[Level2]]&lt;&gt;""," &gt; "&amp;Table1[[#This Row],[Level2]],"")</f>
        <v>Hälsa &amp; Skönhet &gt; Stöd &amp; rehabilitering</v>
      </c>
      <c r="P411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Armbågsstöd</v>
      </c>
      <c r="Q411" s="6" t="s">
        <v>560</v>
      </c>
    </row>
    <row r="412" spans="1:17" x14ac:dyDescent="0.25">
      <c r="A412" s="1" t="s">
        <v>8</v>
      </c>
      <c r="B41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halsa-och-skonhet-stod-och-rehabilitering-axelstod</v>
      </c>
      <c r="C412" s="3" t="s">
        <v>14</v>
      </c>
      <c r="D412" s="3" t="s">
        <v>62</v>
      </c>
      <c r="E412" s="3" t="s">
        <v>64</v>
      </c>
      <c r="F412" s="3"/>
      <c r="G412" s="4" t="b">
        <v>1</v>
      </c>
      <c r="H412" s="5"/>
      <c r="I412" s="4" t="b">
        <v>1</v>
      </c>
      <c r="J412" s="5"/>
      <c r="K412" s="5"/>
      <c r="L412" s="5"/>
      <c r="M412" s="5"/>
      <c r="N412" s="2" t="str">
        <f>Table1[[#This Row],[Level1]]</f>
        <v>Hälsa &amp; Skönhet</v>
      </c>
      <c r="O412" s="2" t="str">
        <f>Table1[[#This Row],[Level1]]
&amp;IF(Table1[[#This Row],[Level2]]&lt;&gt;""," &gt; "&amp;Table1[[#This Row],[Level2]],"")</f>
        <v>Hälsa &amp; Skönhet &gt; Stöd &amp; rehabilitering</v>
      </c>
      <c r="P412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Axelstöd</v>
      </c>
      <c r="Q412" s="6" t="s">
        <v>561</v>
      </c>
    </row>
    <row r="413" spans="1:17" x14ac:dyDescent="0.25">
      <c r="A413" s="1" t="s">
        <v>8</v>
      </c>
      <c r="B41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halsa-och-skonhet-stod-och-rehabilitering-fotledsstod</v>
      </c>
      <c r="C413" s="3" t="s">
        <v>14</v>
      </c>
      <c r="D413" s="3" t="s">
        <v>62</v>
      </c>
      <c r="E413" s="3" t="s">
        <v>65</v>
      </c>
      <c r="F413" s="3"/>
      <c r="G413" s="4" t="b">
        <v>1</v>
      </c>
      <c r="H413" s="5"/>
      <c r="I413" s="4" t="b">
        <v>1</v>
      </c>
      <c r="J413" s="5"/>
      <c r="K413" s="5"/>
      <c r="L413" s="5"/>
      <c r="M413" s="5"/>
      <c r="N413" s="2" t="str">
        <f>Table1[[#This Row],[Level1]]</f>
        <v>Hälsa &amp; Skönhet</v>
      </c>
      <c r="O413" s="2" t="str">
        <f>Table1[[#This Row],[Level1]]
&amp;IF(Table1[[#This Row],[Level2]]&lt;&gt;""," &gt; "&amp;Table1[[#This Row],[Level2]],"")</f>
        <v>Hälsa &amp; Skönhet &gt; Stöd &amp; rehabilitering</v>
      </c>
      <c r="P413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Fotledsstöd</v>
      </c>
      <c r="Q413" s="6" t="s">
        <v>562</v>
      </c>
    </row>
    <row r="414" spans="1:17" x14ac:dyDescent="0.25">
      <c r="A414" s="1" t="s">
        <v>8</v>
      </c>
      <c r="B41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halsa-och-skonhet-stod-och-rehabilitering-gravidbalten-och-stodbalten</v>
      </c>
      <c r="C414" s="3" t="s">
        <v>14</v>
      </c>
      <c r="D414" s="3" t="s">
        <v>62</v>
      </c>
      <c r="E414" s="3" t="s">
        <v>68</v>
      </c>
      <c r="F414" s="3"/>
      <c r="G414" s="4" t="b">
        <v>1</v>
      </c>
      <c r="H414" s="5"/>
      <c r="I414" s="4" t="b">
        <v>1</v>
      </c>
      <c r="J414" s="5"/>
      <c r="K414" s="5"/>
      <c r="L414" s="5"/>
      <c r="M414" s="5"/>
      <c r="N414" s="2" t="str">
        <f>Table1[[#This Row],[Level1]]</f>
        <v>Hälsa &amp; Skönhet</v>
      </c>
      <c r="O414" s="2" t="str">
        <f>Table1[[#This Row],[Level1]]
&amp;IF(Table1[[#This Row],[Level2]]&lt;&gt;""," &gt; "&amp;Table1[[#This Row],[Level2]],"")</f>
        <v>Hälsa &amp; Skönhet &gt; Stöd &amp; rehabilitering</v>
      </c>
      <c r="P414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Gravidbälten &amp; stödbälten</v>
      </c>
      <c r="Q414" s="6" t="s">
        <v>563</v>
      </c>
    </row>
    <row r="415" spans="1:17" x14ac:dyDescent="0.25">
      <c r="A415" s="1" t="s">
        <v>8</v>
      </c>
      <c r="B41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halsa-och-skonhet-stod-och-rehabilitering-handledsstod</v>
      </c>
      <c r="C415" s="3" t="s">
        <v>14</v>
      </c>
      <c r="D415" s="3" t="s">
        <v>62</v>
      </c>
      <c r="E415" s="3" t="s">
        <v>67</v>
      </c>
      <c r="F415" s="3"/>
      <c r="G415" s="4" t="b">
        <v>1</v>
      </c>
      <c r="H415" s="5"/>
      <c r="I415" s="4" t="b">
        <v>1</v>
      </c>
      <c r="J415" s="5"/>
      <c r="K415" s="5"/>
      <c r="L415" s="5"/>
      <c r="M415" s="5"/>
      <c r="N415" s="2" t="str">
        <f>Table1[[#This Row],[Level1]]</f>
        <v>Hälsa &amp; Skönhet</v>
      </c>
      <c r="O415" s="2" t="str">
        <f>Table1[[#This Row],[Level1]]
&amp;IF(Table1[[#This Row],[Level2]]&lt;&gt;""," &gt; "&amp;Table1[[#This Row],[Level2]],"")</f>
        <v>Hälsa &amp; Skönhet &gt; Stöd &amp; rehabilitering</v>
      </c>
      <c r="P415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Handledsstöd</v>
      </c>
      <c r="Q415" s="6" t="s">
        <v>564</v>
      </c>
    </row>
    <row r="416" spans="1:17" x14ac:dyDescent="0.25">
      <c r="A416" s="1" t="s">
        <v>8</v>
      </c>
      <c r="B41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halsa-och-skonhet-stod-och-rehabilitering-knaskydd</v>
      </c>
      <c r="C416" s="3" t="s">
        <v>14</v>
      </c>
      <c r="D416" s="3" t="s">
        <v>62</v>
      </c>
      <c r="E416" s="3" t="s">
        <v>66</v>
      </c>
      <c r="F416" s="3"/>
      <c r="G416" s="4" t="b">
        <v>1</v>
      </c>
      <c r="H416" s="5"/>
      <c r="I416" s="4" t="b">
        <v>1</v>
      </c>
      <c r="J416" s="5"/>
      <c r="K416" s="5"/>
      <c r="L416" s="5"/>
      <c r="M416" s="5"/>
      <c r="N416" s="2" t="str">
        <f>Table1[[#This Row],[Level1]]</f>
        <v>Hälsa &amp; Skönhet</v>
      </c>
      <c r="O416" s="2" t="str">
        <f>Table1[[#This Row],[Level1]]
&amp;IF(Table1[[#This Row],[Level2]]&lt;&gt;""," &gt; "&amp;Table1[[#This Row],[Level2]],"")</f>
        <v>Hälsa &amp; Skönhet &gt; Stöd &amp; rehabilitering</v>
      </c>
      <c r="P416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Knäskydd</v>
      </c>
      <c r="Q416" s="6" t="s">
        <v>565</v>
      </c>
    </row>
    <row r="417" spans="1:17" x14ac:dyDescent="0.25">
      <c r="A417" s="1" t="s">
        <v>8</v>
      </c>
      <c r="B41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halsa-och-skonhet-stod-och-rehabilitering-ovriga-skydd-och-stod</v>
      </c>
      <c r="C417" s="3" t="s">
        <v>14</v>
      </c>
      <c r="D417" s="3" t="s">
        <v>62</v>
      </c>
      <c r="E417" s="3" t="s">
        <v>73</v>
      </c>
      <c r="F417" s="3"/>
      <c r="G417" s="4" t="b">
        <v>1</v>
      </c>
      <c r="H417" s="5"/>
      <c r="I417" s="4" t="b">
        <v>1</v>
      </c>
      <c r="J417" s="5"/>
      <c r="K417" s="5"/>
      <c r="L417" s="5"/>
      <c r="M417" s="5"/>
      <c r="N417" s="2" t="str">
        <f>Table1[[#This Row],[Level1]]</f>
        <v>Hälsa &amp; Skönhet</v>
      </c>
      <c r="O417" s="2" t="str">
        <f>Table1[[#This Row],[Level1]]
&amp;IF(Table1[[#This Row],[Level2]]&lt;&gt;""," &gt; "&amp;Table1[[#This Row],[Level2]],"")</f>
        <v>Hälsa &amp; Skönhet &gt; Stöd &amp; rehabilitering</v>
      </c>
      <c r="P417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Övriga skydd &amp; stöd</v>
      </c>
      <c r="Q417" s="6" t="s">
        <v>566</v>
      </c>
    </row>
    <row r="418" spans="1:17" x14ac:dyDescent="0.25">
      <c r="A418" s="1" t="s">
        <v>8</v>
      </c>
      <c r="B41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halsa-och-skonhet-stod-och-rehabilitering-rehabiliteringshjalpmedel</v>
      </c>
      <c r="C418" s="3" t="s">
        <v>14</v>
      </c>
      <c r="D418" s="3" t="s">
        <v>62</v>
      </c>
      <c r="E418" s="3" t="s">
        <v>72</v>
      </c>
      <c r="F418" s="3"/>
      <c r="G418" s="4" t="b">
        <v>1</v>
      </c>
      <c r="H418" s="5"/>
      <c r="I418" s="4" t="b">
        <v>1</v>
      </c>
      <c r="J418" s="5"/>
      <c r="K418" s="5"/>
      <c r="L418" s="5"/>
      <c r="M418" s="5"/>
      <c r="N418" s="2" t="str">
        <f>Table1[[#This Row],[Level1]]</f>
        <v>Hälsa &amp; Skönhet</v>
      </c>
      <c r="O418" s="2" t="str">
        <f>Table1[[#This Row],[Level1]]
&amp;IF(Table1[[#This Row],[Level2]]&lt;&gt;""," &gt; "&amp;Table1[[#This Row],[Level2]],"")</f>
        <v>Hälsa &amp; Skönhet &gt; Stöd &amp; rehabilitering</v>
      </c>
      <c r="P418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Rehabiliteringshjälpmedel</v>
      </c>
      <c r="Q418" s="6" t="s">
        <v>567</v>
      </c>
    </row>
    <row r="419" spans="1:17" x14ac:dyDescent="0.25">
      <c r="A419" s="1" t="s">
        <v>8</v>
      </c>
      <c r="B41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halsa-och-skonhet-stod-och-rehabilitering-ryggstod-och-hallningsstod</v>
      </c>
      <c r="C419" s="3" t="s">
        <v>14</v>
      </c>
      <c r="D419" s="3" t="s">
        <v>62</v>
      </c>
      <c r="E419" s="3" t="s">
        <v>69</v>
      </c>
      <c r="F419" s="3"/>
      <c r="G419" s="4" t="b">
        <v>1</v>
      </c>
      <c r="H419" s="5"/>
      <c r="I419" s="4" t="b">
        <v>1</v>
      </c>
      <c r="J419" s="5"/>
      <c r="K419" s="5"/>
      <c r="L419" s="5"/>
      <c r="M419" s="5"/>
      <c r="N419" s="2" t="str">
        <f>Table1[[#This Row],[Level1]]</f>
        <v>Hälsa &amp; Skönhet</v>
      </c>
      <c r="O419" s="2" t="str">
        <f>Table1[[#This Row],[Level1]]
&amp;IF(Table1[[#This Row],[Level2]]&lt;&gt;""," &gt; "&amp;Table1[[#This Row],[Level2]],"")</f>
        <v>Hälsa &amp; Skönhet &gt; Stöd &amp; rehabilitering</v>
      </c>
      <c r="P419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Ryggstöd &amp; hållningsstöd</v>
      </c>
      <c r="Q419" s="6" t="s">
        <v>568</v>
      </c>
    </row>
    <row r="420" spans="1:17" x14ac:dyDescent="0.25">
      <c r="A420" s="1" t="s">
        <v>8</v>
      </c>
      <c r="B42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halsa-och-skonhet-stod-och-rehabilitering-stodstrumpor</v>
      </c>
      <c r="C420" s="3" t="s">
        <v>14</v>
      </c>
      <c r="D420" s="3" t="s">
        <v>62</v>
      </c>
      <c r="E420" s="3" t="s">
        <v>70</v>
      </c>
      <c r="F420" s="3"/>
      <c r="G420" s="4" t="b">
        <v>1</v>
      </c>
      <c r="H420" s="5"/>
      <c r="I420" s="4" t="b">
        <v>1</v>
      </c>
      <c r="J420" s="5"/>
      <c r="K420" s="5"/>
      <c r="L420" s="5"/>
      <c r="M420" s="5"/>
      <c r="N420" s="2" t="str">
        <f>Table1[[#This Row],[Level1]]</f>
        <v>Hälsa &amp; Skönhet</v>
      </c>
      <c r="O420" s="2" t="str">
        <f>Table1[[#This Row],[Level1]]
&amp;IF(Table1[[#This Row],[Level2]]&lt;&gt;""," &gt; "&amp;Table1[[#This Row],[Level2]],"")</f>
        <v>Hälsa &amp; Skönhet &gt; Stöd &amp; rehabilitering</v>
      </c>
      <c r="P420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Stödstrumpor</v>
      </c>
      <c r="Q420" s="6" t="s">
        <v>569</v>
      </c>
    </row>
    <row r="421" spans="1:17" x14ac:dyDescent="0.25">
      <c r="A421" s="1" t="s">
        <v>8</v>
      </c>
      <c r="B42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halsa-och-skonhet-stod-och-rehabilitering-taspridare</v>
      </c>
      <c r="C421" s="3" t="s">
        <v>14</v>
      </c>
      <c r="D421" s="3" t="s">
        <v>62</v>
      </c>
      <c r="E421" s="3" t="s">
        <v>71</v>
      </c>
      <c r="F421" s="3"/>
      <c r="G421" s="4" t="b">
        <v>1</v>
      </c>
      <c r="H421" s="5"/>
      <c r="I421" s="4" t="b">
        <v>1</v>
      </c>
      <c r="J421" s="5"/>
      <c r="K421" s="5"/>
      <c r="L421" s="5"/>
      <c r="M421" s="5"/>
      <c r="N421" s="2" t="str">
        <f>Table1[[#This Row],[Level1]]</f>
        <v>Hälsa &amp; Skönhet</v>
      </c>
      <c r="O421" s="2" t="str">
        <f>Table1[[#This Row],[Level1]]
&amp;IF(Table1[[#This Row],[Level2]]&lt;&gt;""," &gt; "&amp;Table1[[#This Row],[Level2]],"")</f>
        <v>Hälsa &amp; Skönhet &gt; Stöd &amp; rehabilitering</v>
      </c>
      <c r="P421" s="2" t="str">
        <f>Table1[[#This Row],[Level1]]
&amp;IF(Table1[[#This Row],[Level2]]&lt;&gt;""," &gt; "&amp;Table1[[#This Row],[Level2]],"")
&amp;IF(Table1[[#This Row],[Level3]]&lt;&gt;""," &gt; "&amp;Table1[[#This Row],[Level3]],"")</f>
        <v>Hälsa &amp; Skönhet &gt; Stöd &amp; rehabilitering &gt; Tåspridare</v>
      </c>
      <c r="Q421" s="6" t="s">
        <v>570</v>
      </c>
    </row>
    <row r="422" spans="1:17" x14ac:dyDescent="0.25">
      <c r="A422" s="1" t="s">
        <v>8</v>
      </c>
      <c r="B42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mode-och-accessoarer-strumpor-och-underklader-stod-och-flygstrumpor</v>
      </c>
      <c r="C422" s="3" t="s">
        <v>288</v>
      </c>
      <c r="D422" s="3" t="s">
        <v>470</v>
      </c>
      <c r="E422" s="3" t="s">
        <v>295</v>
      </c>
      <c r="F422" s="3"/>
      <c r="G422" s="4" t="b">
        <v>1</v>
      </c>
      <c r="H422" s="5"/>
      <c r="I422" s="4" t="b">
        <v>1</v>
      </c>
      <c r="J422" s="5"/>
      <c r="K422" s="5"/>
      <c r="L422" s="5"/>
      <c r="M422" s="5"/>
      <c r="N422" s="2" t="str">
        <f>Table1[[#This Row],[Level1]]</f>
        <v>Mode &amp; Accessoarer</v>
      </c>
      <c r="O422" s="2" t="str">
        <f>Table1[[#This Row],[Level1]]
&amp;IF(Table1[[#This Row],[Level2]]&lt;&gt;""," &gt; "&amp;Table1[[#This Row],[Level2]],"")</f>
        <v>Mode &amp; Accessoarer &gt; Strumpor &amp; underkläder</v>
      </c>
      <c r="P422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Strumpor &amp; underkläder &gt; Stöd- &amp; flygstrumpor</v>
      </c>
      <c r="Q422" s="6" t="s">
        <v>829</v>
      </c>
    </row>
    <row r="423" spans="1:17" x14ac:dyDescent="0.25">
      <c r="A423" s="1" t="s">
        <v>8</v>
      </c>
      <c r="B42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mode-och-accessoarer-strumpor-och-underklader-tastrumpor</v>
      </c>
      <c r="C423" s="3" t="s">
        <v>288</v>
      </c>
      <c r="D423" s="3" t="s">
        <v>470</v>
      </c>
      <c r="E423" s="3" t="s">
        <v>296</v>
      </c>
      <c r="F423" s="3"/>
      <c r="G423" s="4" t="b">
        <v>1</v>
      </c>
      <c r="H423" s="5"/>
      <c r="I423" s="4" t="b">
        <v>1</v>
      </c>
      <c r="J423" s="5"/>
      <c r="K423" s="5"/>
      <c r="L423" s="5"/>
      <c r="M423" s="5"/>
      <c r="N423" s="2" t="str">
        <f>Table1[[#This Row],[Level1]]</f>
        <v>Mode &amp; Accessoarer</v>
      </c>
      <c r="O423" s="2" t="str">
        <f>Table1[[#This Row],[Level1]]
&amp;IF(Table1[[#This Row],[Level2]]&lt;&gt;""," &gt; "&amp;Table1[[#This Row],[Level2]],"")</f>
        <v>Mode &amp; Accessoarer &gt; Strumpor &amp; underkläder</v>
      </c>
      <c r="P423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Strumpor &amp; underkläder &gt; Tåstrumpor</v>
      </c>
      <c r="Q423" s="6" t="s">
        <v>830</v>
      </c>
    </row>
    <row r="424" spans="1:17" x14ac:dyDescent="0.25">
      <c r="A424" s="1" t="s">
        <v>8</v>
      </c>
      <c r="B42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mode-och-accessoarer-strumpor-och-underklader-underklader</v>
      </c>
      <c r="C424" s="3" t="s">
        <v>288</v>
      </c>
      <c r="D424" s="3" t="s">
        <v>470</v>
      </c>
      <c r="E424" s="3" t="s">
        <v>297</v>
      </c>
      <c r="F424" s="3"/>
      <c r="G424" s="4" t="b">
        <v>1</v>
      </c>
      <c r="H424" s="5"/>
      <c r="I424" s="4" t="b">
        <v>1</v>
      </c>
      <c r="J424" s="5"/>
      <c r="K424" s="5"/>
      <c r="L424" s="5"/>
      <c r="M424" s="5"/>
      <c r="N424" s="2" t="str">
        <f>Table1[[#This Row],[Level1]]</f>
        <v>Mode &amp; Accessoarer</v>
      </c>
      <c r="O424" s="2" t="str">
        <f>Table1[[#This Row],[Level1]]
&amp;IF(Table1[[#This Row],[Level2]]&lt;&gt;""," &gt; "&amp;Table1[[#This Row],[Level2]],"")</f>
        <v>Mode &amp; Accessoarer &gt; Strumpor &amp; underkläder</v>
      </c>
      <c r="P424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Strumpor &amp; underkläder &gt; Underkläder</v>
      </c>
      <c r="Q424" s="6" t="s">
        <v>831</v>
      </c>
    </row>
    <row r="425" spans="1:17" x14ac:dyDescent="0.25">
      <c r="A425" s="1" t="s">
        <v>8</v>
      </c>
      <c r="B42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mode-och-accessoarer-strumpor-och-underklader-vanliga-strumpor</v>
      </c>
      <c r="C425" s="3" t="s">
        <v>288</v>
      </c>
      <c r="D425" s="3" t="s">
        <v>470</v>
      </c>
      <c r="E425" s="3" t="s">
        <v>294</v>
      </c>
      <c r="F425" s="3"/>
      <c r="G425" s="4" t="b">
        <v>1</v>
      </c>
      <c r="H425" s="5"/>
      <c r="I425" s="4" t="b">
        <v>1</v>
      </c>
      <c r="J425" s="5"/>
      <c r="K425" s="5"/>
      <c r="L425" s="5"/>
      <c r="M425" s="5"/>
      <c r="N425" s="2" t="str">
        <f>Table1[[#This Row],[Level1]]</f>
        <v>Mode &amp; Accessoarer</v>
      </c>
      <c r="O425" s="2" t="str">
        <f>Table1[[#This Row],[Level1]]
&amp;IF(Table1[[#This Row],[Level2]]&lt;&gt;""," &gt; "&amp;Table1[[#This Row],[Level2]],"")</f>
        <v>Mode &amp; Accessoarer &gt; Strumpor &amp; underkläder</v>
      </c>
      <c r="P42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Strumpor &amp; underkläder &gt; Vanliga strumpor</v>
      </c>
      <c r="Q425" s="6" t="s">
        <v>832</v>
      </c>
    </row>
    <row r="426" spans="1:17" x14ac:dyDescent="0.25">
      <c r="A426" s="1" t="s">
        <v>8</v>
      </c>
      <c r="B42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mode-och-accessoarer-strumpor-och-underklader-yoga-och-pilatesstrumpor</v>
      </c>
      <c r="C426" s="3" t="s">
        <v>288</v>
      </c>
      <c r="D426" s="3" t="s">
        <v>470</v>
      </c>
      <c r="E426" s="3" t="s">
        <v>442</v>
      </c>
      <c r="F426" s="3"/>
      <c r="G426" s="4" t="b">
        <v>1</v>
      </c>
      <c r="H426" s="5"/>
      <c r="I426" s="4" t="b">
        <v>1</v>
      </c>
      <c r="J426" s="5"/>
      <c r="K426" s="5"/>
      <c r="L426" s="5"/>
      <c r="M426" s="5"/>
      <c r="N426" s="2" t="str">
        <f>Table1[[#This Row],[Level1]]</f>
        <v>Mode &amp; Accessoarer</v>
      </c>
      <c r="O426" s="2" t="str">
        <f>Table1[[#This Row],[Level1]]
&amp;IF(Table1[[#This Row],[Level2]]&lt;&gt;""," &gt; "&amp;Table1[[#This Row],[Level2]],"")</f>
        <v>Mode &amp; Accessoarer &gt; Strumpor &amp; underkläder</v>
      </c>
      <c r="P426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Strumpor &amp; underkläder &gt; Yoga &amp; pilatesstrumpor</v>
      </c>
      <c r="Q426" s="6" t="s">
        <v>833</v>
      </c>
    </row>
    <row r="427" spans="1:17" x14ac:dyDescent="0.25">
      <c r="A427" s="1" t="s">
        <v>8</v>
      </c>
      <c r="B42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sport-och-fritid-traningsklader-lagklader-och-sportset</v>
      </c>
      <c r="C427" s="3" t="s">
        <v>204</v>
      </c>
      <c r="D427" s="3" t="s">
        <v>217</v>
      </c>
      <c r="E427" s="3" t="s">
        <v>221</v>
      </c>
      <c r="F427" s="3"/>
      <c r="G427" s="4" t="b">
        <v>1</v>
      </c>
      <c r="H427" s="5"/>
      <c r="I427" s="4" t="b">
        <v>1</v>
      </c>
      <c r="J427" s="5"/>
      <c r="K427" s="5"/>
      <c r="L427" s="5"/>
      <c r="M427" s="5"/>
      <c r="N427" s="2" t="str">
        <f>Table1[[#This Row],[Level1]]</f>
        <v>Sport &amp; Fritid</v>
      </c>
      <c r="O427" s="2" t="str">
        <f>Table1[[#This Row],[Level1]]
&amp;IF(Table1[[#This Row],[Level2]]&lt;&gt;""," &gt; "&amp;Table1[[#This Row],[Level2]],"")</f>
        <v>Sport &amp; Fritid &gt; Träningskläder</v>
      </c>
      <c r="P427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Träningskläder &gt; Lagkläder &amp; sportset</v>
      </c>
      <c r="Q427" s="6" t="s">
        <v>869</v>
      </c>
    </row>
    <row r="428" spans="1:17" x14ac:dyDescent="0.25">
      <c r="A428" s="1" t="s">
        <v>8</v>
      </c>
      <c r="B42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sport-och-fritid-traningsklader-sportaccessoarer</v>
      </c>
      <c r="C428" s="3" t="s">
        <v>204</v>
      </c>
      <c r="D428" s="3" t="s">
        <v>217</v>
      </c>
      <c r="E428" s="3" t="s">
        <v>220</v>
      </c>
      <c r="F428" s="3"/>
      <c r="G428" s="4" t="b">
        <v>1</v>
      </c>
      <c r="H428" s="5"/>
      <c r="I428" s="4" t="b">
        <v>1</v>
      </c>
      <c r="J428" s="5"/>
      <c r="K428" s="5"/>
      <c r="L428" s="5"/>
      <c r="M428" s="5"/>
      <c r="N428" s="2" t="str">
        <f>Table1[[#This Row],[Level1]]</f>
        <v>Sport &amp; Fritid</v>
      </c>
      <c r="O428" s="2" t="str">
        <f>Table1[[#This Row],[Level1]]
&amp;IF(Table1[[#This Row],[Level2]]&lt;&gt;""," &gt; "&amp;Table1[[#This Row],[Level2]],"")</f>
        <v>Sport &amp; Fritid &gt; Träningskläder</v>
      </c>
      <c r="P428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Träningskläder &gt; Sportaccessoarer</v>
      </c>
      <c r="Q428" s="6" t="s">
        <v>870</v>
      </c>
    </row>
    <row r="429" spans="1:17" x14ac:dyDescent="0.25">
      <c r="A429" s="1" t="s">
        <v>8</v>
      </c>
      <c r="B42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sport-och-fritid-traningsklader-traningshandskar-och-skydd</v>
      </c>
      <c r="C429" s="3" t="s">
        <v>204</v>
      </c>
      <c r="D429" s="3" t="s">
        <v>217</v>
      </c>
      <c r="E429" s="3" t="s">
        <v>219</v>
      </c>
      <c r="F429" s="3"/>
      <c r="G429" s="4" t="b">
        <v>1</v>
      </c>
      <c r="H429" s="5"/>
      <c r="I429" s="4" t="b">
        <v>1</v>
      </c>
      <c r="J429" s="5"/>
      <c r="K429" s="5"/>
      <c r="L429" s="5"/>
      <c r="M429" s="5"/>
      <c r="N429" s="2" t="str">
        <f>Table1[[#This Row],[Level1]]</f>
        <v>Sport &amp; Fritid</v>
      </c>
      <c r="O429" s="2" t="str">
        <f>Table1[[#This Row],[Level1]]
&amp;IF(Table1[[#This Row],[Level2]]&lt;&gt;""," &gt; "&amp;Table1[[#This Row],[Level2]],"")</f>
        <v>Sport &amp; Fritid &gt; Träningskläder</v>
      </c>
      <c r="P429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Träningskläder &gt; Träningshandskar &amp; skydd</v>
      </c>
      <c r="Q429" s="6" t="s">
        <v>871</v>
      </c>
    </row>
    <row r="430" spans="1:17" x14ac:dyDescent="0.25">
      <c r="A430" s="1" t="s">
        <v>8</v>
      </c>
      <c r="B43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sport-och-fritid-traningsklader-traningsklader</v>
      </c>
      <c r="C430" s="3" t="s">
        <v>204</v>
      </c>
      <c r="D430" s="3" t="s">
        <v>217</v>
      </c>
      <c r="E430" s="3" t="s">
        <v>217</v>
      </c>
      <c r="F430" s="3"/>
      <c r="G430" s="4" t="b">
        <v>1</v>
      </c>
      <c r="H430" s="5"/>
      <c r="I430" s="4" t="b">
        <v>1</v>
      </c>
      <c r="J430" s="5"/>
      <c r="K430" s="5"/>
      <c r="L430" s="5"/>
      <c r="M430" s="5"/>
      <c r="N430" s="2" t="str">
        <f>Table1[[#This Row],[Level1]]</f>
        <v>Sport &amp; Fritid</v>
      </c>
      <c r="O430" s="2" t="str">
        <f>Table1[[#This Row],[Level1]]
&amp;IF(Table1[[#This Row],[Level2]]&lt;&gt;""," &gt; "&amp;Table1[[#This Row],[Level2]],"")</f>
        <v>Sport &amp; Fritid &gt; Träningskläder</v>
      </c>
      <c r="P430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Träningskläder &gt; Träningskläder</v>
      </c>
      <c r="Q430" s="6" t="s">
        <v>872</v>
      </c>
    </row>
    <row r="431" spans="1:17" x14ac:dyDescent="0.25">
      <c r="A431" s="1" t="s">
        <v>8</v>
      </c>
      <c r="B43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sport-och-fritid-traningsklader-traningsstrumpor-och-sulor</v>
      </c>
      <c r="C431" s="3" t="s">
        <v>204</v>
      </c>
      <c r="D431" s="3" t="s">
        <v>217</v>
      </c>
      <c r="E431" s="3" t="s">
        <v>218</v>
      </c>
      <c r="F431" s="3"/>
      <c r="G431" s="4" t="b">
        <v>1</v>
      </c>
      <c r="H431" s="5"/>
      <c r="I431" s="4" t="b">
        <v>1</v>
      </c>
      <c r="J431" s="5"/>
      <c r="K431" s="5"/>
      <c r="L431" s="5"/>
      <c r="M431" s="5"/>
      <c r="N431" s="2" t="str">
        <f>Table1[[#This Row],[Level1]]</f>
        <v>Sport &amp; Fritid</v>
      </c>
      <c r="O431" s="2" t="str">
        <f>Table1[[#This Row],[Level1]]
&amp;IF(Table1[[#This Row],[Level2]]&lt;&gt;""," &gt; "&amp;Table1[[#This Row],[Level2]],"")</f>
        <v>Sport &amp; Fritid &gt; Träningskläder</v>
      </c>
      <c r="P431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Träningskläder &gt; Träningsstrumpor &amp; sulor</v>
      </c>
      <c r="Q431" s="6" t="s">
        <v>873</v>
      </c>
    </row>
    <row r="432" spans="1:17" x14ac:dyDescent="0.25">
      <c r="A432" s="1" t="s">
        <v>8</v>
      </c>
      <c r="B43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sport-och-fritid-traningsklader-traningsvastar-och-loparbalten</v>
      </c>
      <c r="C432" s="3" t="s">
        <v>204</v>
      </c>
      <c r="D432" s="3" t="s">
        <v>217</v>
      </c>
      <c r="E432" s="3" t="s">
        <v>432</v>
      </c>
      <c r="F432" s="3"/>
      <c r="G432" s="4" t="b">
        <v>1</v>
      </c>
      <c r="H432" s="5"/>
      <c r="I432" s="4" t="b">
        <v>1</v>
      </c>
      <c r="J432" s="5"/>
      <c r="K432" s="5"/>
      <c r="L432" s="5"/>
      <c r="M432" s="5"/>
      <c r="N432" s="2" t="str">
        <f>Table1[[#This Row],[Level1]]</f>
        <v>Sport &amp; Fritid</v>
      </c>
      <c r="O432" s="2" t="str">
        <f>Table1[[#This Row],[Level1]]
&amp;IF(Table1[[#This Row],[Level2]]&lt;&gt;""," &gt; "&amp;Table1[[#This Row],[Level2]],"")</f>
        <v>Sport &amp; Fritid &gt; Träningskläder</v>
      </c>
      <c r="P432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Träningskläder &gt; Träningsvästar &amp; löparbälten</v>
      </c>
      <c r="Q432" s="6" t="s">
        <v>874</v>
      </c>
    </row>
    <row r="433" spans="1:17" x14ac:dyDescent="0.25">
      <c r="A433" s="1" t="s">
        <v>8</v>
      </c>
      <c r="B43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sport-och-fritid-traningsutrustning-balans-och-koordination</v>
      </c>
      <c r="C433" s="3" t="s">
        <v>204</v>
      </c>
      <c r="D433" s="3" t="s">
        <v>222</v>
      </c>
      <c r="E433" s="3" t="s">
        <v>227</v>
      </c>
      <c r="F433" s="3"/>
      <c r="G433" s="4" t="b">
        <v>1</v>
      </c>
      <c r="H433" s="5"/>
      <c r="I433" s="4" t="b">
        <v>1</v>
      </c>
      <c r="J433" s="5"/>
      <c r="K433" s="5"/>
      <c r="L433" s="5"/>
      <c r="M433" s="5"/>
      <c r="N433" s="2" t="str">
        <f>Table1[[#This Row],[Level1]]</f>
        <v>Sport &amp; Fritid</v>
      </c>
      <c r="O433" s="2" t="str">
        <f>Table1[[#This Row],[Level1]]
&amp;IF(Table1[[#This Row],[Level2]]&lt;&gt;""," &gt; "&amp;Table1[[#This Row],[Level2]],"")</f>
        <v>Sport &amp; Fritid &gt; Träningsutrustning</v>
      </c>
      <c r="P433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Balans &amp; koordination</v>
      </c>
      <c r="Q433" s="6" t="s">
        <v>875</v>
      </c>
    </row>
    <row r="434" spans="1:17" x14ac:dyDescent="0.25">
      <c r="A434" s="1" t="s">
        <v>8</v>
      </c>
      <c r="B43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sport-och-fritid-traningsutrustning-golf</v>
      </c>
      <c r="C434" s="3" t="s">
        <v>204</v>
      </c>
      <c r="D434" s="3" t="s">
        <v>222</v>
      </c>
      <c r="E434" s="3" t="s">
        <v>231</v>
      </c>
      <c r="F434" s="3"/>
      <c r="G434" s="4" t="b">
        <v>1</v>
      </c>
      <c r="H434" s="5"/>
      <c r="I434" s="4" t="b">
        <v>1</v>
      </c>
      <c r="J434" s="5"/>
      <c r="K434" s="5"/>
      <c r="L434" s="5"/>
      <c r="M434" s="5"/>
      <c r="N434" s="2" t="str">
        <f>Table1[[#This Row],[Level1]]</f>
        <v>Sport &amp; Fritid</v>
      </c>
      <c r="O434" s="2" t="str">
        <f>Table1[[#This Row],[Level1]]
&amp;IF(Table1[[#This Row],[Level2]]&lt;&gt;""," &gt; "&amp;Table1[[#This Row],[Level2]],"")</f>
        <v>Sport &amp; Fritid &gt; Träningsutrustning</v>
      </c>
      <c r="P434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Golf</v>
      </c>
      <c r="Q434" s="6" t="s">
        <v>876</v>
      </c>
    </row>
    <row r="435" spans="1:17" x14ac:dyDescent="0.25">
      <c r="A435" s="1" t="s">
        <v>8</v>
      </c>
      <c r="B43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sport-och-fritid-traningsutrustning-gymutrustning</v>
      </c>
      <c r="C435" s="3" t="s">
        <v>204</v>
      </c>
      <c r="D435" s="3" t="s">
        <v>222</v>
      </c>
      <c r="E435" s="3" t="s">
        <v>223</v>
      </c>
      <c r="F435" s="3"/>
      <c r="G435" s="4" t="b">
        <v>1</v>
      </c>
      <c r="H435" s="5"/>
      <c r="I435" s="4" t="b">
        <v>1</v>
      </c>
      <c r="J435" s="5"/>
      <c r="K435" s="5"/>
      <c r="L435" s="5"/>
      <c r="M435" s="5"/>
      <c r="N435" s="2" t="str">
        <f>Table1[[#This Row],[Level1]]</f>
        <v>Sport &amp; Fritid</v>
      </c>
      <c r="O435" s="2" t="str">
        <f>Table1[[#This Row],[Level1]]
&amp;IF(Table1[[#This Row],[Level2]]&lt;&gt;""," &gt; "&amp;Table1[[#This Row],[Level2]],"")</f>
        <v>Sport &amp; Fritid &gt; Träningsutrustning</v>
      </c>
      <c r="P435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Gymutrustning</v>
      </c>
      <c r="Q435" s="6" t="s">
        <v>877</v>
      </c>
    </row>
    <row r="436" spans="1:17" x14ac:dyDescent="0.25">
      <c r="A436" s="1" t="s">
        <v>8</v>
      </c>
      <c r="B43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sport-och-fritid-traningsutrustning-handstyrka-och-rehab</v>
      </c>
      <c r="C436" s="3" t="s">
        <v>204</v>
      </c>
      <c r="D436" s="3" t="s">
        <v>222</v>
      </c>
      <c r="E436" s="3" t="s">
        <v>228</v>
      </c>
      <c r="F436" s="3"/>
      <c r="G436" s="4" t="b">
        <v>1</v>
      </c>
      <c r="H436" s="5"/>
      <c r="I436" s="4" t="b">
        <v>1</v>
      </c>
      <c r="J436" s="5"/>
      <c r="K436" s="5"/>
      <c r="L436" s="5"/>
      <c r="M436" s="5"/>
      <c r="N436" s="2" t="str">
        <f>Table1[[#This Row],[Level1]]</f>
        <v>Sport &amp; Fritid</v>
      </c>
      <c r="O436" s="2" t="str">
        <f>Table1[[#This Row],[Level1]]
&amp;IF(Table1[[#This Row],[Level2]]&lt;&gt;""," &gt; "&amp;Table1[[#This Row],[Level2]],"")</f>
        <v>Sport &amp; Fritid &gt; Träningsutrustning</v>
      </c>
      <c r="P436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Handstyrka &amp; rehab</v>
      </c>
      <c r="Q436" s="6" t="s">
        <v>878</v>
      </c>
    </row>
    <row r="437" spans="1:17" x14ac:dyDescent="0.25">
      <c r="A437" s="1" t="s">
        <v>8</v>
      </c>
      <c r="B43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sport-och-fritid-traningsutrustning-kondition-och-motion</v>
      </c>
      <c r="C437" s="3" t="s">
        <v>204</v>
      </c>
      <c r="D437" s="3" t="s">
        <v>222</v>
      </c>
      <c r="E437" s="3" t="s">
        <v>224</v>
      </c>
      <c r="F437" s="3"/>
      <c r="G437" s="4" t="b">
        <v>1</v>
      </c>
      <c r="H437" s="5"/>
      <c r="I437" s="4" t="b">
        <v>1</v>
      </c>
      <c r="J437" s="5"/>
      <c r="K437" s="5"/>
      <c r="L437" s="5"/>
      <c r="M437" s="5"/>
      <c r="N437" s="2" t="str">
        <f>Table1[[#This Row],[Level1]]</f>
        <v>Sport &amp; Fritid</v>
      </c>
      <c r="O437" s="2" t="str">
        <f>Table1[[#This Row],[Level1]]
&amp;IF(Table1[[#This Row],[Level2]]&lt;&gt;""," &gt; "&amp;Table1[[#This Row],[Level2]],"")</f>
        <v>Sport &amp; Fritid &gt; Träningsutrustning</v>
      </c>
      <c r="P437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Kondition &amp; motion</v>
      </c>
      <c r="Q437" s="6" t="s">
        <v>879</v>
      </c>
    </row>
    <row r="438" spans="1:17" x14ac:dyDescent="0.25">
      <c r="A438" s="1" t="s">
        <v>8</v>
      </c>
      <c r="B43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sport-och-fritid-traningsutrustning-led-och-reflexer</v>
      </c>
      <c r="C438" s="3" t="s">
        <v>204</v>
      </c>
      <c r="D438" s="3" t="s">
        <v>222</v>
      </c>
      <c r="E438" s="3" t="s">
        <v>433</v>
      </c>
      <c r="F438" s="3"/>
      <c r="G438" s="4" t="b">
        <v>1</v>
      </c>
      <c r="H438" s="5"/>
      <c r="I438" s="4" t="b">
        <v>1</v>
      </c>
      <c r="J438" s="5"/>
      <c r="K438" s="5"/>
      <c r="L438" s="5"/>
      <c r="M438" s="5"/>
      <c r="N438" s="2" t="str">
        <f>Table1[[#This Row],[Level1]]</f>
        <v>Sport &amp; Fritid</v>
      </c>
      <c r="O438" s="2" t="str">
        <f>Table1[[#This Row],[Level1]]
&amp;IF(Table1[[#This Row],[Level2]]&lt;&gt;""," &gt; "&amp;Table1[[#This Row],[Level2]],"")</f>
        <v>Sport &amp; Fritid &gt; Träningsutrustning</v>
      </c>
      <c r="P438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Led &amp; reflexer</v>
      </c>
      <c r="Q438" s="6" t="s">
        <v>880</v>
      </c>
    </row>
    <row r="439" spans="1:17" x14ac:dyDescent="0.25">
      <c r="A439" s="1" t="s">
        <v>8</v>
      </c>
      <c r="B43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sport-och-fritid-traningsutrustning-ovrig-traningsutrustning</v>
      </c>
      <c r="C439" s="3" t="s">
        <v>204</v>
      </c>
      <c r="D439" s="3" t="s">
        <v>222</v>
      </c>
      <c r="E439" s="3" t="s">
        <v>232</v>
      </c>
      <c r="F439" s="3"/>
      <c r="G439" s="4" t="b">
        <v>1</v>
      </c>
      <c r="H439" s="5"/>
      <c r="I439" s="4" t="b">
        <v>1</v>
      </c>
      <c r="J439" s="5"/>
      <c r="K439" s="5"/>
      <c r="L439" s="5"/>
      <c r="M439" s="5"/>
      <c r="N439" s="2" t="str">
        <f>Table1[[#This Row],[Level1]]</f>
        <v>Sport &amp; Fritid</v>
      </c>
      <c r="O439" s="2" t="str">
        <f>Table1[[#This Row],[Level1]]
&amp;IF(Table1[[#This Row],[Level2]]&lt;&gt;""," &gt; "&amp;Table1[[#This Row],[Level2]],"")</f>
        <v>Sport &amp; Fritid &gt; Träningsutrustning</v>
      </c>
      <c r="P439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Övrig träningsutrustning</v>
      </c>
      <c r="Q439" s="6" t="s">
        <v>881</v>
      </c>
    </row>
    <row r="440" spans="1:17" x14ac:dyDescent="0.25">
      <c r="A440" s="1" t="s">
        <v>8</v>
      </c>
      <c r="B44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sport-och-fritid-traningsutrustning-skydd-vid-traning</v>
      </c>
      <c r="C440" s="3" t="s">
        <v>204</v>
      </c>
      <c r="D440" s="3" t="s">
        <v>222</v>
      </c>
      <c r="E440" s="3" t="s">
        <v>235</v>
      </c>
      <c r="F440" s="3"/>
      <c r="G440" s="4" t="b">
        <v>1</v>
      </c>
      <c r="H440" s="5"/>
      <c r="I440" s="4" t="b">
        <v>1</v>
      </c>
      <c r="J440" s="5"/>
      <c r="K440" s="5"/>
      <c r="L440" s="5"/>
      <c r="M440" s="5"/>
      <c r="N440" s="2" t="str">
        <f>Table1[[#This Row],[Level1]]</f>
        <v>Sport &amp; Fritid</v>
      </c>
      <c r="O440" s="2" t="str">
        <f>Table1[[#This Row],[Level1]]
&amp;IF(Table1[[#This Row],[Level2]]&lt;&gt;""," &gt; "&amp;Table1[[#This Row],[Level2]],"")</f>
        <v>Sport &amp; Fritid &gt; Träningsutrustning</v>
      </c>
      <c r="P440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Skydd vid träning</v>
      </c>
      <c r="Q440" s="6" t="s">
        <v>882</v>
      </c>
    </row>
    <row r="441" spans="1:17" x14ac:dyDescent="0.25">
      <c r="A441" s="1" t="s">
        <v>8</v>
      </c>
      <c r="B44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sport-och-fritid-traningsutrustning-sport-och-simglasogon</v>
      </c>
      <c r="C441" s="3" t="s">
        <v>204</v>
      </c>
      <c r="D441" s="3" t="s">
        <v>222</v>
      </c>
      <c r="E441" s="3" t="s">
        <v>230</v>
      </c>
      <c r="F441" s="3"/>
      <c r="G441" s="4" t="b">
        <v>1</v>
      </c>
      <c r="H441" s="5"/>
      <c r="I441" s="4" t="b">
        <v>1</v>
      </c>
      <c r="J441" s="5"/>
      <c r="K441" s="5"/>
      <c r="L441" s="5"/>
      <c r="M441" s="5"/>
      <c r="N441" s="2" t="str">
        <f>Table1[[#This Row],[Level1]]</f>
        <v>Sport &amp; Fritid</v>
      </c>
      <c r="O441" s="2" t="str">
        <f>Table1[[#This Row],[Level1]]
&amp;IF(Table1[[#This Row],[Level2]]&lt;&gt;""," &gt; "&amp;Table1[[#This Row],[Level2]],"")</f>
        <v>Sport &amp; Fritid &gt; Träningsutrustning</v>
      </c>
      <c r="P441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Sport- &amp; simglasögon</v>
      </c>
      <c r="Q441" s="6" t="s">
        <v>883</v>
      </c>
    </row>
    <row r="442" spans="1:17" x14ac:dyDescent="0.25">
      <c r="A442" s="1" t="s">
        <v>8</v>
      </c>
      <c r="B44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sport-och-fritid-traningsutrustning-stoppur</v>
      </c>
      <c r="C442" s="3" t="s">
        <v>204</v>
      </c>
      <c r="D442" s="3" t="s">
        <v>222</v>
      </c>
      <c r="E442" s="3" t="s">
        <v>233</v>
      </c>
      <c r="F442" s="3"/>
      <c r="G442" s="4" t="b">
        <v>1</v>
      </c>
      <c r="H442" s="5"/>
      <c r="I442" s="4" t="b">
        <v>1</v>
      </c>
      <c r="J442" s="5"/>
      <c r="K442" s="5"/>
      <c r="L442" s="5"/>
      <c r="M442" s="5"/>
      <c r="N442" s="2" t="str">
        <f>Table1[[#This Row],[Level1]]</f>
        <v>Sport &amp; Fritid</v>
      </c>
      <c r="O442" s="2" t="str">
        <f>Table1[[#This Row],[Level1]]
&amp;IF(Table1[[#This Row],[Level2]]&lt;&gt;""," &gt; "&amp;Table1[[#This Row],[Level2]],"")</f>
        <v>Sport &amp; Fritid &gt; Träningsutrustning</v>
      </c>
      <c r="P442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Stoppur</v>
      </c>
      <c r="Q442" s="6" t="s">
        <v>884</v>
      </c>
    </row>
    <row r="443" spans="1:17" x14ac:dyDescent="0.25">
      <c r="A443" s="1" t="s">
        <v>8</v>
      </c>
      <c r="B44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sport-och-fritid-traningsutrustning-traningsband-och-styrka</v>
      </c>
      <c r="C443" s="3" t="s">
        <v>204</v>
      </c>
      <c r="D443" s="3" t="s">
        <v>222</v>
      </c>
      <c r="E443" s="3" t="s">
        <v>226</v>
      </c>
      <c r="F443" s="3"/>
      <c r="G443" s="4" t="b">
        <v>1</v>
      </c>
      <c r="H443" s="5"/>
      <c r="I443" s="4" t="b">
        <v>1</v>
      </c>
      <c r="J443" s="5"/>
      <c r="K443" s="5"/>
      <c r="L443" s="5"/>
      <c r="M443" s="5"/>
      <c r="N443" s="2" t="str">
        <f>Table1[[#This Row],[Level1]]</f>
        <v>Sport &amp; Fritid</v>
      </c>
      <c r="O443" s="2" t="str">
        <f>Table1[[#This Row],[Level1]]
&amp;IF(Table1[[#This Row],[Level2]]&lt;&gt;""," &gt; "&amp;Table1[[#This Row],[Level2]],"")</f>
        <v>Sport &amp; Fritid &gt; Träningsutrustning</v>
      </c>
      <c r="P443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Träningsband &amp; styrka</v>
      </c>
      <c r="Q443" s="6" t="s">
        <v>885</v>
      </c>
    </row>
    <row r="444" spans="1:17" x14ac:dyDescent="0.25">
      <c r="A444" s="1" t="s">
        <v>8</v>
      </c>
      <c r="B44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sport-och-fritid-traningsutrustning-traningsvaskor</v>
      </c>
      <c r="C444" s="3" t="s">
        <v>204</v>
      </c>
      <c r="D444" s="3" t="s">
        <v>222</v>
      </c>
      <c r="E444" s="3" t="s">
        <v>229</v>
      </c>
      <c r="F444" s="3"/>
      <c r="G444" s="4" t="b">
        <v>1</v>
      </c>
      <c r="H444" s="5"/>
      <c r="I444" s="4" t="b">
        <v>1</v>
      </c>
      <c r="J444" s="5"/>
      <c r="K444" s="5"/>
      <c r="L444" s="5"/>
      <c r="M444" s="5"/>
      <c r="N444" s="2" t="str">
        <f>Table1[[#This Row],[Level1]]</f>
        <v>Sport &amp; Fritid</v>
      </c>
      <c r="O444" s="2" t="str">
        <f>Table1[[#This Row],[Level1]]
&amp;IF(Table1[[#This Row],[Level2]]&lt;&gt;""," &gt; "&amp;Table1[[#This Row],[Level2]],"")</f>
        <v>Sport &amp; Fritid &gt; Träningsutrustning</v>
      </c>
      <c r="P444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Träningsväskor</v>
      </c>
      <c r="Q444" s="6" t="s">
        <v>886</v>
      </c>
    </row>
    <row r="445" spans="1:17" x14ac:dyDescent="0.25">
      <c r="A445" s="1" t="s">
        <v>8</v>
      </c>
      <c r="B44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sport-och-fritid-traningsutrustning-vattenflaskor-och-shakers</v>
      </c>
      <c r="C445" s="3" t="s">
        <v>204</v>
      </c>
      <c r="D445" s="3" t="s">
        <v>222</v>
      </c>
      <c r="E445" s="3" t="s">
        <v>234</v>
      </c>
      <c r="F445" s="3"/>
      <c r="G445" s="4" t="b">
        <v>1</v>
      </c>
      <c r="H445" s="5"/>
      <c r="I445" s="4" t="b">
        <v>1</v>
      </c>
      <c r="J445" s="5"/>
      <c r="K445" s="5"/>
      <c r="L445" s="5"/>
      <c r="M445" s="5"/>
      <c r="N445" s="2" t="str">
        <f>Table1[[#This Row],[Level1]]</f>
        <v>Sport &amp; Fritid</v>
      </c>
      <c r="O445" s="2" t="str">
        <f>Table1[[#This Row],[Level1]]
&amp;IF(Table1[[#This Row],[Level2]]&lt;&gt;""," &gt; "&amp;Table1[[#This Row],[Level2]],"")</f>
        <v>Sport &amp; Fritid &gt; Träningsutrustning</v>
      </c>
      <c r="P445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Vattenflaskor &amp; shakers</v>
      </c>
      <c r="Q445" s="6" t="s">
        <v>887</v>
      </c>
    </row>
    <row r="446" spans="1:17" x14ac:dyDescent="0.25">
      <c r="A446" s="1" t="s">
        <v>8</v>
      </c>
      <c r="B44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sport-och-fritid-traningsutrustning-yoga-och-rorlighet</v>
      </c>
      <c r="C446" s="3" t="s">
        <v>204</v>
      </c>
      <c r="D446" s="3" t="s">
        <v>222</v>
      </c>
      <c r="E446" s="3" t="s">
        <v>225</v>
      </c>
      <c r="F446" s="3"/>
      <c r="G446" s="4" t="b">
        <v>1</v>
      </c>
      <c r="H446" s="5"/>
      <c r="I446" s="4" t="b">
        <v>1</v>
      </c>
      <c r="J446" s="5"/>
      <c r="K446" s="5"/>
      <c r="L446" s="5"/>
      <c r="M446" s="5"/>
      <c r="N446" s="2" t="str">
        <f>Table1[[#This Row],[Level1]]</f>
        <v>Sport &amp; Fritid</v>
      </c>
      <c r="O446" s="2" t="str">
        <f>Table1[[#This Row],[Level1]]
&amp;IF(Table1[[#This Row],[Level2]]&lt;&gt;""," &gt; "&amp;Table1[[#This Row],[Level2]],"")</f>
        <v>Sport &amp; Fritid &gt; Träningsutrustning</v>
      </c>
      <c r="P446" s="2" t="str">
        <f>Table1[[#This Row],[Level1]]
&amp;IF(Table1[[#This Row],[Level2]]&lt;&gt;""," &gt; "&amp;Table1[[#This Row],[Level2]],"")
&amp;IF(Table1[[#This Row],[Level3]]&lt;&gt;""," &gt; "&amp;Table1[[#This Row],[Level3]],"")</f>
        <v>Sport &amp; Fritid &gt; Träningsutrustning &gt; Yoga &amp; rörlighet</v>
      </c>
      <c r="Q446" s="6" t="s">
        <v>888</v>
      </c>
    </row>
    <row r="447" spans="1:17" x14ac:dyDescent="0.25">
      <c r="A447" s="1" t="s">
        <v>8</v>
      </c>
      <c r="B44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hemelektronik-tv-och-projektorer-fjarrkontroller</v>
      </c>
      <c r="C447" s="3" t="s">
        <v>331</v>
      </c>
      <c r="D447" s="3" t="s">
        <v>482</v>
      </c>
      <c r="E447" s="3" t="s">
        <v>361</v>
      </c>
      <c r="F447" s="3"/>
      <c r="G447" s="4" t="b">
        <v>1</v>
      </c>
      <c r="H447" s="5"/>
      <c r="I447" s="4" t="b">
        <v>1</v>
      </c>
      <c r="J447" s="5"/>
      <c r="K447" s="5"/>
      <c r="L447" s="5"/>
      <c r="M447" s="5"/>
      <c r="N447" s="2" t="str">
        <f>Table1[[#This Row],[Level1]]</f>
        <v>Hemelektronik</v>
      </c>
      <c r="O447" s="2" t="str">
        <f>Table1[[#This Row],[Level1]]
&amp;IF(Table1[[#This Row],[Level2]]&lt;&gt;""," &gt; "&amp;Table1[[#This Row],[Level2]],"")</f>
        <v>Hemelektronik &gt; Tv &amp; projektorer</v>
      </c>
      <c r="P447" s="2" t="str">
        <f>Table1[[#This Row],[Level1]]
&amp;IF(Table1[[#This Row],[Level2]]&lt;&gt;""," &gt; "&amp;Table1[[#This Row],[Level2]],"")
&amp;IF(Table1[[#This Row],[Level3]]&lt;&gt;""," &gt; "&amp;Table1[[#This Row],[Level3]],"")</f>
        <v>Hemelektronik &gt; Tv &amp; projektorer &gt; Fjärrkontroller</v>
      </c>
      <c r="Q447" s="6" t="s">
        <v>656</v>
      </c>
    </row>
    <row r="448" spans="1:17" x14ac:dyDescent="0.25">
      <c r="A448" s="1" t="s">
        <v>8</v>
      </c>
      <c r="B44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hemelektronik-tv-och-projektorer-ovriga-tv-tillbehor</v>
      </c>
      <c r="C448" s="3" t="s">
        <v>331</v>
      </c>
      <c r="D448" s="3" t="s">
        <v>482</v>
      </c>
      <c r="E448" s="3" t="s">
        <v>450</v>
      </c>
      <c r="F448" s="3"/>
      <c r="G448" s="4" t="b">
        <v>1</v>
      </c>
      <c r="H448" s="5"/>
      <c r="I448" s="4" t="b">
        <v>1</v>
      </c>
      <c r="J448" s="5"/>
      <c r="K448" s="5"/>
      <c r="L448" s="5"/>
      <c r="M448" s="5"/>
      <c r="N448" s="2" t="str">
        <f>Table1[[#This Row],[Level1]]</f>
        <v>Hemelektronik</v>
      </c>
      <c r="O448" s="2" t="str">
        <f>Table1[[#This Row],[Level1]]
&amp;IF(Table1[[#This Row],[Level2]]&lt;&gt;""," &gt; "&amp;Table1[[#This Row],[Level2]],"")</f>
        <v>Hemelektronik &gt; Tv &amp; projektorer</v>
      </c>
      <c r="P448" s="2" t="str">
        <f>Table1[[#This Row],[Level1]]
&amp;IF(Table1[[#This Row],[Level2]]&lt;&gt;""," &gt; "&amp;Table1[[#This Row],[Level2]],"")
&amp;IF(Table1[[#This Row],[Level3]]&lt;&gt;""," &gt; "&amp;Table1[[#This Row],[Level3]],"")</f>
        <v>Hemelektronik &gt; Tv &amp; projektorer &gt; Övriga tv-tillbehör</v>
      </c>
      <c r="Q448" s="6" t="s">
        <v>657</v>
      </c>
    </row>
    <row r="449" spans="1:17" x14ac:dyDescent="0.25">
      <c r="A449" s="1" t="s">
        <v>8</v>
      </c>
      <c r="B44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hemelektronik-tv-och-projektorer-projektorer-och-dukar</v>
      </c>
      <c r="C449" s="3" t="s">
        <v>331</v>
      </c>
      <c r="D449" s="3" t="s">
        <v>482</v>
      </c>
      <c r="E449" s="3" t="s">
        <v>360</v>
      </c>
      <c r="F449" s="3"/>
      <c r="G449" s="4" t="b">
        <v>1</v>
      </c>
      <c r="H449" s="5"/>
      <c r="I449" s="4" t="b">
        <v>1</v>
      </c>
      <c r="J449" s="5"/>
      <c r="K449" s="5"/>
      <c r="L449" s="5"/>
      <c r="M449" s="5"/>
      <c r="N449" s="2" t="str">
        <f>Table1[[#This Row],[Level1]]</f>
        <v>Hemelektronik</v>
      </c>
      <c r="O449" s="2" t="str">
        <f>Table1[[#This Row],[Level1]]
&amp;IF(Table1[[#This Row],[Level2]]&lt;&gt;""," &gt; "&amp;Table1[[#This Row],[Level2]],"")</f>
        <v>Hemelektronik &gt; Tv &amp; projektorer</v>
      </c>
      <c r="P449" s="2" t="str">
        <f>Table1[[#This Row],[Level1]]
&amp;IF(Table1[[#This Row],[Level2]]&lt;&gt;""," &gt; "&amp;Table1[[#This Row],[Level2]],"")
&amp;IF(Table1[[#This Row],[Level3]]&lt;&gt;""," &gt; "&amp;Table1[[#This Row],[Level3]],"")</f>
        <v>Hemelektronik &gt; Tv &amp; projektorer &gt; Projektorer &amp; dukar</v>
      </c>
      <c r="Q449" s="6" t="s">
        <v>658</v>
      </c>
    </row>
    <row r="450" spans="1:17" x14ac:dyDescent="0.25">
      <c r="A450" s="1" t="s">
        <v>8</v>
      </c>
      <c r="B45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hemelektronik-tv-och-projektorer-streaming-och-mediagadgets</v>
      </c>
      <c r="C450" s="3" t="s">
        <v>331</v>
      </c>
      <c r="D450" s="3" t="s">
        <v>482</v>
      </c>
      <c r="E450" s="3" t="s">
        <v>363</v>
      </c>
      <c r="F450" s="3"/>
      <c r="G450" s="4" t="b">
        <v>1</v>
      </c>
      <c r="H450" s="5"/>
      <c r="I450" s="4" t="b">
        <v>1</v>
      </c>
      <c r="J450" s="5"/>
      <c r="K450" s="5"/>
      <c r="L450" s="5"/>
      <c r="M450" s="5"/>
      <c r="N450" s="2" t="str">
        <f>Table1[[#This Row],[Level1]]</f>
        <v>Hemelektronik</v>
      </c>
      <c r="O450" s="2" t="str">
        <f>Table1[[#This Row],[Level1]]
&amp;IF(Table1[[#This Row],[Level2]]&lt;&gt;""," &gt; "&amp;Table1[[#This Row],[Level2]],"")</f>
        <v>Hemelektronik &gt; Tv &amp; projektorer</v>
      </c>
      <c r="P450" s="2" t="str">
        <f>Table1[[#This Row],[Level1]]
&amp;IF(Table1[[#This Row],[Level2]]&lt;&gt;""," &gt; "&amp;Table1[[#This Row],[Level2]],"")
&amp;IF(Table1[[#This Row],[Level3]]&lt;&gt;""," &gt; "&amp;Table1[[#This Row],[Level3]],"")</f>
        <v>Hemelektronik &gt; Tv &amp; projektorer &gt; Streaming- &amp; mediagadgets</v>
      </c>
      <c r="Q450" s="6" t="s">
        <v>659</v>
      </c>
    </row>
    <row r="451" spans="1:17" x14ac:dyDescent="0.25">
      <c r="A451" s="1" t="s">
        <v>8</v>
      </c>
      <c r="B45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hemelektronik-tv-och-projektorer-vaggfasten-och-stativ</v>
      </c>
      <c r="C451" s="3" t="s">
        <v>331</v>
      </c>
      <c r="D451" s="3" t="s">
        <v>482</v>
      </c>
      <c r="E451" s="3" t="s">
        <v>362</v>
      </c>
      <c r="F451" s="3"/>
      <c r="G451" s="4" t="b">
        <v>1</v>
      </c>
      <c r="H451" s="5"/>
      <c r="I451" s="4" t="b">
        <v>1</v>
      </c>
      <c r="J451" s="5"/>
      <c r="K451" s="5"/>
      <c r="L451" s="5"/>
      <c r="M451" s="5"/>
      <c r="N451" s="2" t="str">
        <f>Table1[[#This Row],[Level1]]</f>
        <v>Hemelektronik</v>
      </c>
      <c r="O451" s="2" t="str">
        <f>Table1[[#This Row],[Level1]]
&amp;IF(Table1[[#This Row],[Level2]]&lt;&gt;""," &gt; "&amp;Table1[[#This Row],[Level2]],"")</f>
        <v>Hemelektronik &gt; Tv &amp; projektorer</v>
      </c>
      <c r="P451" s="2" t="str">
        <f>Table1[[#This Row],[Level1]]
&amp;IF(Table1[[#This Row],[Level2]]&lt;&gt;""," &gt; "&amp;Table1[[#This Row],[Level2]],"")
&amp;IF(Table1[[#This Row],[Level3]]&lt;&gt;""," &gt; "&amp;Table1[[#This Row],[Level3]],"")</f>
        <v>Hemelektronik &gt; Tv &amp; projektorer &gt; Väggfästen &amp; stativ</v>
      </c>
      <c r="Q451" s="6" t="s">
        <v>660</v>
      </c>
    </row>
    <row r="452" spans="1:17" x14ac:dyDescent="0.25">
      <c r="A452" s="1" t="s">
        <v>8</v>
      </c>
      <c r="B45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hobby-och-lek-uteleksaker-badleksaker-och-vattenleksaker</v>
      </c>
      <c r="C452" s="3" t="s">
        <v>246</v>
      </c>
      <c r="D452" s="3" t="s">
        <v>266</v>
      </c>
      <c r="E452" s="3" t="s">
        <v>439</v>
      </c>
      <c r="F452" s="3"/>
      <c r="G452" s="4" t="b">
        <v>1</v>
      </c>
      <c r="H452" s="5"/>
      <c r="I452" s="4" t="b">
        <v>1</v>
      </c>
      <c r="J452" s="5"/>
      <c r="K452" s="5"/>
      <c r="L452" s="5"/>
      <c r="M452" s="5"/>
      <c r="N452" s="2" t="str">
        <f>Table1[[#This Row],[Level1]]</f>
        <v>Hobby &amp; Lek</v>
      </c>
      <c r="O452" s="2" t="str">
        <f>Table1[[#This Row],[Level1]]
&amp;IF(Table1[[#This Row],[Level2]]&lt;&gt;""," &gt; "&amp;Table1[[#This Row],[Level2]],"")</f>
        <v>Hobby &amp; Lek &gt; Uteleksaker</v>
      </c>
      <c r="P452" s="2" t="str">
        <f>Table1[[#This Row],[Level1]]
&amp;IF(Table1[[#This Row],[Level2]]&lt;&gt;""," &gt; "&amp;Table1[[#This Row],[Level2]],"")
&amp;IF(Table1[[#This Row],[Level3]]&lt;&gt;""," &gt; "&amp;Table1[[#This Row],[Level3]],"")</f>
        <v>Hobby &amp; Lek &gt; Uteleksaker &gt; Badleksaker &amp; vattenleksaker</v>
      </c>
      <c r="Q452" s="6" t="s">
        <v>748</v>
      </c>
    </row>
    <row r="453" spans="1:17" x14ac:dyDescent="0.25">
      <c r="A453" s="1" t="s">
        <v>8</v>
      </c>
      <c r="B45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hobby-och-lek-uteleksaker-sport-och-spel</v>
      </c>
      <c r="C453" s="3" t="s">
        <v>246</v>
      </c>
      <c r="D453" s="3" t="s">
        <v>266</v>
      </c>
      <c r="E453" s="3" t="s">
        <v>440</v>
      </c>
      <c r="F453" s="3"/>
      <c r="G453" s="4" t="b">
        <v>1</v>
      </c>
      <c r="H453" s="5"/>
      <c r="I453" s="4" t="b">
        <v>1</v>
      </c>
      <c r="J453" s="5"/>
      <c r="K453" s="5"/>
      <c r="L453" s="5"/>
      <c r="M453" s="5"/>
      <c r="N453" s="2" t="str">
        <f>Table1[[#This Row],[Level1]]</f>
        <v>Hobby &amp; Lek</v>
      </c>
      <c r="O453" s="2" t="str">
        <f>Table1[[#This Row],[Level1]]
&amp;IF(Table1[[#This Row],[Level2]]&lt;&gt;""," &gt; "&amp;Table1[[#This Row],[Level2]],"")</f>
        <v>Hobby &amp; Lek &gt; Uteleksaker</v>
      </c>
      <c r="P453" s="2" t="str">
        <f>Table1[[#This Row],[Level1]]
&amp;IF(Table1[[#This Row],[Level2]]&lt;&gt;""," &gt; "&amp;Table1[[#This Row],[Level2]],"")
&amp;IF(Table1[[#This Row],[Level3]]&lt;&gt;""," &gt; "&amp;Table1[[#This Row],[Level3]],"")</f>
        <v>Hobby &amp; Lek &gt; Uteleksaker &gt; Sport &amp; spel</v>
      </c>
      <c r="Q453" s="6" t="s">
        <v>749</v>
      </c>
    </row>
    <row r="454" spans="1:17" x14ac:dyDescent="0.25">
      <c r="A454" s="1" t="s">
        <v>8</v>
      </c>
      <c r="B45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hobby-och-lek-uteleksaker-tradgardsleksaker</v>
      </c>
      <c r="C454" s="3" t="s">
        <v>246</v>
      </c>
      <c r="D454" s="3" t="s">
        <v>266</v>
      </c>
      <c r="E454" s="3" t="s">
        <v>267</v>
      </c>
      <c r="F454" s="3"/>
      <c r="G454" s="4" t="b">
        <v>1</v>
      </c>
      <c r="H454" s="5"/>
      <c r="I454" s="4" t="b">
        <v>1</v>
      </c>
      <c r="J454" s="5"/>
      <c r="K454" s="5"/>
      <c r="L454" s="5"/>
      <c r="M454" s="5"/>
      <c r="N454" s="2" t="str">
        <f>Table1[[#This Row],[Level1]]</f>
        <v>Hobby &amp; Lek</v>
      </c>
      <c r="O454" s="2" t="str">
        <f>Table1[[#This Row],[Level1]]
&amp;IF(Table1[[#This Row],[Level2]]&lt;&gt;""," &gt; "&amp;Table1[[#This Row],[Level2]],"")</f>
        <v>Hobby &amp; Lek &gt; Uteleksaker</v>
      </c>
      <c r="P454" s="2" t="str">
        <f>Table1[[#This Row],[Level1]]
&amp;IF(Table1[[#This Row],[Level2]]&lt;&gt;""," &gt; "&amp;Table1[[#This Row],[Level2]],"")
&amp;IF(Table1[[#This Row],[Level3]]&lt;&gt;""," &gt; "&amp;Table1[[#This Row],[Level3]],"")</f>
        <v>Hobby &amp; Lek &gt; Uteleksaker &gt; Trädgårdsleksaker</v>
      </c>
      <c r="Q454" s="6" t="s">
        <v>750</v>
      </c>
    </row>
    <row r="455" spans="1:17" x14ac:dyDescent="0.25">
      <c r="A455" s="1" t="s">
        <v>8</v>
      </c>
      <c r="B45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hobby-och-lek-uteleksaker-vinterleksaker</v>
      </c>
      <c r="C455" s="3" t="s">
        <v>246</v>
      </c>
      <c r="D455" s="3" t="s">
        <v>266</v>
      </c>
      <c r="E455" s="3" t="s">
        <v>268</v>
      </c>
      <c r="F455" s="3"/>
      <c r="G455" s="4" t="b">
        <v>1</v>
      </c>
      <c r="H455" s="5"/>
      <c r="I455" s="4" t="b">
        <v>1</v>
      </c>
      <c r="J455" s="5"/>
      <c r="K455" s="5"/>
      <c r="L455" s="5"/>
      <c r="M455" s="5"/>
      <c r="N455" s="2" t="str">
        <f>Table1[[#This Row],[Level1]]</f>
        <v>Hobby &amp; Lek</v>
      </c>
      <c r="O455" s="2" t="str">
        <f>Table1[[#This Row],[Level1]]
&amp;IF(Table1[[#This Row],[Level2]]&lt;&gt;""," &gt; "&amp;Table1[[#This Row],[Level2]],"")</f>
        <v>Hobby &amp; Lek &gt; Uteleksaker</v>
      </c>
      <c r="P455" s="2" t="str">
        <f>Table1[[#This Row],[Level1]]
&amp;IF(Table1[[#This Row],[Level2]]&lt;&gt;""," &gt; "&amp;Table1[[#This Row],[Level2]],"")
&amp;IF(Table1[[#This Row],[Level3]]&lt;&gt;""," &gt; "&amp;Table1[[#This Row],[Level3]],"")</f>
        <v>Hobby &amp; Lek &gt; Uteleksaker &gt; Vinterleksaker</v>
      </c>
      <c r="Q455" s="6" t="s">
        <v>751</v>
      </c>
    </row>
    <row r="456" spans="1:17" x14ac:dyDescent="0.25">
      <c r="A456" s="1" t="s">
        <v>8</v>
      </c>
      <c r="B45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hem-och-tradgard-uteplats-och-tradgard-fagelmatare</v>
      </c>
      <c r="C456" s="3" t="s">
        <v>146</v>
      </c>
      <c r="D456" s="3" t="s">
        <v>459</v>
      </c>
      <c r="E456" s="3" t="s">
        <v>169</v>
      </c>
      <c r="F456" s="3"/>
      <c r="G456" s="4" t="b">
        <v>1</v>
      </c>
      <c r="H456" s="5"/>
      <c r="I456" s="4" t="b">
        <v>1</v>
      </c>
      <c r="J456" s="5"/>
      <c r="K456" s="5"/>
      <c r="L456" s="5"/>
      <c r="M456" s="5"/>
      <c r="N456" s="2" t="str">
        <f>Table1[[#This Row],[Level1]]</f>
        <v>Hem &amp; Trädgård</v>
      </c>
      <c r="O456" s="2" t="str">
        <f>Table1[[#This Row],[Level1]]
&amp;IF(Table1[[#This Row],[Level2]]&lt;&gt;""," &gt; "&amp;Table1[[#This Row],[Level2]],"")</f>
        <v>Hem &amp; Trädgård &gt; Uteplats &amp; trädgård</v>
      </c>
      <c r="P456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Fågelmatare</v>
      </c>
      <c r="Q456" s="6" t="s">
        <v>597</v>
      </c>
    </row>
    <row r="457" spans="1:17" x14ac:dyDescent="0.25">
      <c r="A457" s="1" t="s">
        <v>8</v>
      </c>
      <c r="B45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hem-och-tradgard-uteplats-och-tradgard-fontaner-och-dammar</v>
      </c>
      <c r="C457" s="3" t="s">
        <v>146</v>
      </c>
      <c r="D457" s="3" t="s">
        <v>459</v>
      </c>
      <c r="E457" s="3" t="s">
        <v>167</v>
      </c>
      <c r="F457" s="3"/>
      <c r="G457" s="4" t="b">
        <v>1</v>
      </c>
      <c r="H457" s="5"/>
      <c r="I457" s="4" t="b">
        <v>1</v>
      </c>
      <c r="J457" s="5"/>
      <c r="K457" s="5"/>
      <c r="L457" s="5"/>
      <c r="M457" s="5"/>
      <c r="N457" s="2" t="str">
        <f>Table1[[#This Row],[Level1]]</f>
        <v>Hem &amp; Trädgård</v>
      </c>
      <c r="O457" s="2" t="str">
        <f>Table1[[#This Row],[Level1]]
&amp;IF(Table1[[#This Row],[Level2]]&lt;&gt;""," &gt; "&amp;Table1[[#This Row],[Level2]],"")</f>
        <v>Hem &amp; Trädgård &gt; Uteplats &amp; trädgård</v>
      </c>
      <c r="P457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Fontäner &amp; dammar</v>
      </c>
      <c r="Q457" s="6" t="s">
        <v>598</v>
      </c>
    </row>
    <row r="458" spans="1:17" x14ac:dyDescent="0.25">
      <c r="A458" s="1" t="s">
        <v>8</v>
      </c>
      <c r="B45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hem-och-tradgard-uteplats-och-tradgard-grill-och-grilltillbehor</v>
      </c>
      <c r="C458" s="3" t="s">
        <v>146</v>
      </c>
      <c r="D458" s="3" t="s">
        <v>459</v>
      </c>
      <c r="E458" s="3" t="s">
        <v>420</v>
      </c>
      <c r="F458" s="3"/>
      <c r="G458" s="4" t="b">
        <v>1</v>
      </c>
      <c r="H458" s="5"/>
      <c r="I458" s="4" t="b">
        <v>1</v>
      </c>
      <c r="J458" s="5"/>
      <c r="K458" s="5"/>
      <c r="L458" s="5"/>
      <c r="M458" s="5"/>
      <c r="N458" s="2" t="str">
        <f>Table1[[#This Row],[Level1]]</f>
        <v>Hem &amp; Trädgård</v>
      </c>
      <c r="O458" s="2" t="str">
        <f>Table1[[#This Row],[Level1]]
&amp;IF(Table1[[#This Row],[Level2]]&lt;&gt;""," &gt; "&amp;Table1[[#This Row],[Level2]],"")</f>
        <v>Hem &amp; Trädgård &gt; Uteplats &amp; trädgård</v>
      </c>
      <c r="P458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Grill &amp; grilltillbehör</v>
      </c>
      <c r="Q458" s="6" t="s">
        <v>599</v>
      </c>
    </row>
    <row r="459" spans="1:17" x14ac:dyDescent="0.25">
      <c r="A459" s="1" t="s">
        <v>8</v>
      </c>
      <c r="B45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hem-och-tradgard-uteplats-och-tradgard-hangmattor</v>
      </c>
      <c r="C459" s="3" t="s">
        <v>146</v>
      </c>
      <c r="D459" s="3" t="s">
        <v>459</v>
      </c>
      <c r="E459" s="3" t="s">
        <v>164</v>
      </c>
      <c r="F459" s="3"/>
      <c r="G459" s="4" t="b">
        <v>1</v>
      </c>
      <c r="H459" s="5"/>
      <c r="I459" s="4" t="b">
        <v>1</v>
      </c>
      <c r="J459" s="5"/>
      <c r="K459" s="5"/>
      <c r="L459" s="5"/>
      <c r="M459" s="5"/>
      <c r="N459" s="2" t="str">
        <f>Table1[[#This Row],[Level1]]</f>
        <v>Hem &amp; Trädgård</v>
      </c>
      <c r="O459" s="2" t="str">
        <f>Table1[[#This Row],[Level1]]
&amp;IF(Table1[[#This Row],[Level2]]&lt;&gt;""," &gt; "&amp;Table1[[#This Row],[Level2]],"")</f>
        <v>Hem &amp; Trädgård &gt; Uteplats &amp; trädgård</v>
      </c>
      <c r="P459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Hängmattor</v>
      </c>
      <c r="Q459" s="6" t="s">
        <v>600</v>
      </c>
    </row>
    <row r="460" spans="1:17" x14ac:dyDescent="0.25">
      <c r="A460" s="1" t="s">
        <v>8</v>
      </c>
      <c r="B46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hem-och-tradgard-uteplats-och-tradgard-overdrag-till-utemobler</v>
      </c>
      <c r="C460" s="3" t="s">
        <v>146</v>
      </c>
      <c r="D460" s="3" t="s">
        <v>459</v>
      </c>
      <c r="E460" s="3" t="s">
        <v>170</v>
      </c>
      <c r="F460" s="3"/>
      <c r="G460" s="4" t="b">
        <v>1</v>
      </c>
      <c r="H460" s="5"/>
      <c r="I460" s="4" t="b">
        <v>1</v>
      </c>
      <c r="J460" s="5"/>
      <c r="K460" s="5"/>
      <c r="L460" s="5"/>
      <c r="M460" s="5"/>
      <c r="N460" s="2" t="str">
        <f>Table1[[#This Row],[Level1]]</f>
        <v>Hem &amp; Trädgård</v>
      </c>
      <c r="O460" s="2" t="str">
        <f>Table1[[#This Row],[Level1]]
&amp;IF(Table1[[#This Row],[Level2]]&lt;&gt;""," &gt; "&amp;Table1[[#This Row],[Level2]],"")</f>
        <v>Hem &amp; Trädgård &gt; Uteplats &amp; trädgård</v>
      </c>
      <c r="P460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Överdrag till utemöbler</v>
      </c>
      <c r="Q460" s="6" t="s">
        <v>601</v>
      </c>
    </row>
    <row r="461" spans="1:17" x14ac:dyDescent="0.25">
      <c r="A461" s="1" t="s">
        <v>8</v>
      </c>
      <c r="B46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hem-och-tradgard-uteplats-och-tradgard-pool-och-spa</v>
      </c>
      <c r="C461" s="3" t="s">
        <v>146</v>
      </c>
      <c r="D461" s="3" t="s">
        <v>459</v>
      </c>
      <c r="E461" s="3" t="s">
        <v>421</v>
      </c>
      <c r="F461" s="3"/>
      <c r="G461" s="4" t="b">
        <v>1</v>
      </c>
      <c r="H461" s="5"/>
      <c r="I461" s="4" t="b">
        <v>1</v>
      </c>
      <c r="J461" s="5"/>
      <c r="K461" s="5"/>
      <c r="L461" s="5"/>
      <c r="M461" s="5"/>
      <c r="N461" s="2" t="str">
        <f>Table1[[#This Row],[Level1]]</f>
        <v>Hem &amp; Trädgård</v>
      </c>
      <c r="O461" s="2" t="str">
        <f>Table1[[#This Row],[Level1]]
&amp;IF(Table1[[#This Row],[Level2]]&lt;&gt;""," &gt; "&amp;Table1[[#This Row],[Level2]],"")</f>
        <v>Hem &amp; Trädgård &gt; Uteplats &amp; trädgård</v>
      </c>
      <c r="P461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Pool &amp; spa</v>
      </c>
      <c r="Q461" s="6" t="s">
        <v>602</v>
      </c>
    </row>
    <row r="462" spans="1:17" x14ac:dyDescent="0.25">
      <c r="A462" s="1" t="s">
        <v>8</v>
      </c>
      <c r="B46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hem-och-tradgard-uteplats-och-tradgard-tradgardsbelysning</v>
      </c>
      <c r="C462" s="3" t="s">
        <v>146</v>
      </c>
      <c r="D462" s="3" t="s">
        <v>459</v>
      </c>
      <c r="E462" s="3" t="s">
        <v>165</v>
      </c>
      <c r="F462" s="3"/>
      <c r="G462" s="4" t="b">
        <v>1</v>
      </c>
      <c r="H462" s="5"/>
      <c r="I462" s="4" t="b">
        <v>1</v>
      </c>
      <c r="J462" s="5"/>
      <c r="K462" s="5"/>
      <c r="L462" s="5"/>
      <c r="M462" s="5"/>
      <c r="N462" s="2" t="str">
        <f>Table1[[#This Row],[Level1]]</f>
        <v>Hem &amp; Trädgård</v>
      </c>
      <c r="O462" s="2" t="str">
        <f>Table1[[#This Row],[Level1]]
&amp;IF(Table1[[#This Row],[Level2]]&lt;&gt;""," &gt; "&amp;Table1[[#This Row],[Level2]],"")</f>
        <v>Hem &amp; Trädgård &gt; Uteplats &amp; trädgård</v>
      </c>
      <c r="P462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Trädgårdsbelysning</v>
      </c>
      <c r="Q462" s="6" t="s">
        <v>603</v>
      </c>
    </row>
    <row r="463" spans="1:17" x14ac:dyDescent="0.25">
      <c r="A463" s="1" t="s">
        <v>8</v>
      </c>
      <c r="B46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hem-och-tradgard-uteplats-och-tradgard-tradgardsinredning</v>
      </c>
      <c r="C463" s="3" t="s">
        <v>146</v>
      </c>
      <c r="D463" s="3" t="s">
        <v>459</v>
      </c>
      <c r="E463" s="3" t="s">
        <v>166</v>
      </c>
      <c r="F463" s="3"/>
      <c r="G463" s="4" t="b">
        <v>1</v>
      </c>
      <c r="H463" s="5"/>
      <c r="I463" s="4" t="b">
        <v>1</v>
      </c>
      <c r="J463" s="5"/>
      <c r="K463" s="5"/>
      <c r="L463" s="5"/>
      <c r="M463" s="5"/>
      <c r="N463" s="2" t="str">
        <f>Table1[[#This Row],[Level1]]</f>
        <v>Hem &amp; Trädgård</v>
      </c>
      <c r="O463" s="2" t="str">
        <f>Table1[[#This Row],[Level1]]
&amp;IF(Table1[[#This Row],[Level2]]&lt;&gt;""," &gt; "&amp;Table1[[#This Row],[Level2]],"")</f>
        <v>Hem &amp; Trädgård &gt; Uteplats &amp; trädgård</v>
      </c>
      <c r="P463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Trädgårdsinredning</v>
      </c>
      <c r="Q463" s="6" t="s">
        <v>604</v>
      </c>
    </row>
    <row r="464" spans="1:17" x14ac:dyDescent="0.25">
      <c r="A464" s="1" t="s">
        <v>8</v>
      </c>
      <c r="B46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hem-och-tradgard-uteplats-och-tradgard-tradgardsprydnader</v>
      </c>
      <c r="C464" s="3" t="s">
        <v>146</v>
      </c>
      <c r="D464" s="3" t="s">
        <v>459</v>
      </c>
      <c r="E464" s="3" t="s">
        <v>168</v>
      </c>
      <c r="F464" s="3"/>
      <c r="G464" s="4" t="b">
        <v>1</v>
      </c>
      <c r="H464" s="5"/>
      <c r="I464" s="4" t="b">
        <v>1</v>
      </c>
      <c r="J464" s="5"/>
      <c r="K464" s="5"/>
      <c r="L464" s="5"/>
      <c r="M464" s="5"/>
      <c r="N464" s="2" t="str">
        <f>Table1[[#This Row],[Level1]]</f>
        <v>Hem &amp; Trädgård</v>
      </c>
      <c r="O464" s="2" t="str">
        <f>Table1[[#This Row],[Level1]]
&amp;IF(Table1[[#This Row],[Level2]]&lt;&gt;""," &gt; "&amp;Table1[[#This Row],[Level2]],"")</f>
        <v>Hem &amp; Trädgård &gt; Uteplats &amp; trädgård</v>
      </c>
      <c r="P464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Uteplats &amp; trädgård &gt; Trädgårdsprydnader</v>
      </c>
      <c r="Q464" s="6" t="s">
        <v>605</v>
      </c>
    </row>
    <row r="465" spans="1:17" x14ac:dyDescent="0.25">
      <c r="A465" s="1" t="s">
        <v>8</v>
      </c>
      <c r="B46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mode-och-accessoarer-vaskor-och-forvaring-handvaskor-och-smavaskor</v>
      </c>
      <c r="C465" s="3" t="s">
        <v>288</v>
      </c>
      <c r="D465" s="3" t="s">
        <v>469</v>
      </c>
      <c r="E465" s="3" t="s">
        <v>292</v>
      </c>
      <c r="F465" s="3"/>
      <c r="G465" s="4" t="b">
        <v>1</v>
      </c>
      <c r="H465" s="5"/>
      <c r="I465" s="4" t="b">
        <v>1</v>
      </c>
      <c r="J465" s="5"/>
      <c r="K465" s="5"/>
      <c r="L465" s="5"/>
      <c r="M465" s="5"/>
      <c r="N465" s="2" t="str">
        <f>Table1[[#This Row],[Level1]]</f>
        <v>Mode &amp; Accessoarer</v>
      </c>
      <c r="O465" s="2" t="str">
        <f>Table1[[#This Row],[Level1]]
&amp;IF(Table1[[#This Row],[Level2]]&lt;&gt;""," &gt; "&amp;Table1[[#This Row],[Level2]],"")</f>
        <v>Mode &amp; Accessoarer &gt; Väskor &amp; förvaring</v>
      </c>
      <c r="P465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Väskor &amp; förvaring &gt; Handväskor &amp; småväskor</v>
      </c>
      <c r="Q465" s="6" t="s">
        <v>834</v>
      </c>
    </row>
    <row r="466" spans="1:17" x14ac:dyDescent="0.25">
      <c r="A466" s="1" t="s">
        <v>8</v>
      </c>
      <c r="B46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mode-och-accessoarer-vaskor-och-forvaring-laptopvaskor</v>
      </c>
      <c r="C466" s="3" t="s">
        <v>288</v>
      </c>
      <c r="D466" s="3" t="s">
        <v>469</v>
      </c>
      <c r="E466" s="3" t="s">
        <v>290</v>
      </c>
      <c r="F466" s="3"/>
      <c r="G466" s="4" t="b">
        <v>1</v>
      </c>
      <c r="H466" s="5"/>
      <c r="I466" s="4" t="b">
        <v>1</v>
      </c>
      <c r="J466" s="5"/>
      <c r="K466" s="5"/>
      <c r="L466" s="5"/>
      <c r="M466" s="5"/>
      <c r="N466" s="2" t="str">
        <f>Table1[[#This Row],[Level1]]</f>
        <v>Mode &amp; Accessoarer</v>
      </c>
      <c r="O466" s="2" t="str">
        <f>Table1[[#This Row],[Level1]]
&amp;IF(Table1[[#This Row],[Level2]]&lt;&gt;""," &gt; "&amp;Table1[[#This Row],[Level2]],"")</f>
        <v>Mode &amp; Accessoarer &gt; Väskor &amp; förvaring</v>
      </c>
      <c r="P466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Väskor &amp; förvaring &gt; Laptopväskor</v>
      </c>
      <c r="Q466" s="6" t="s">
        <v>835</v>
      </c>
    </row>
    <row r="467" spans="1:17" x14ac:dyDescent="0.25">
      <c r="A467" s="1" t="s">
        <v>8</v>
      </c>
      <c r="B46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mode-och-accessoarer-vaskor-och-forvaring-midjevaskor</v>
      </c>
      <c r="C467" s="3" t="s">
        <v>288</v>
      </c>
      <c r="D467" s="3" t="s">
        <v>469</v>
      </c>
      <c r="E467" s="3" t="s">
        <v>291</v>
      </c>
      <c r="F467" s="3"/>
      <c r="G467" s="4" t="b">
        <v>1</v>
      </c>
      <c r="H467" s="5"/>
      <c r="I467" s="4" t="b">
        <v>1</v>
      </c>
      <c r="J467" s="5"/>
      <c r="K467" s="5"/>
      <c r="L467" s="5"/>
      <c r="M467" s="5"/>
      <c r="N467" s="2" t="str">
        <f>Table1[[#This Row],[Level1]]</f>
        <v>Mode &amp; Accessoarer</v>
      </c>
      <c r="O467" s="2" t="str">
        <f>Table1[[#This Row],[Level1]]
&amp;IF(Table1[[#This Row],[Level2]]&lt;&gt;""," &gt; "&amp;Table1[[#This Row],[Level2]],"")</f>
        <v>Mode &amp; Accessoarer &gt; Väskor &amp; förvaring</v>
      </c>
      <c r="P467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Väskor &amp; förvaring &gt; Midjeväskor</v>
      </c>
      <c r="Q467" s="6" t="s">
        <v>836</v>
      </c>
    </row>
    <row r="468" spans="1:17" x14ac:dyDescent="0.25">
      <c r="A468" s="1" t="s">
        <v>8</v>
      </c>
      <c r="B46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mode-och-accessoarer-vaskor-och-forvaring-rese­forvaring-och-tillbehor</v>
      </c>
      <c r="C468" s="3" t="s">
        <v>288</v>
      </c>
      <c r="D468" s="3" t="s">
        <v>469</v>
      </c>
      <c r="E468" s="3" t="s">
        <v>293</v>
      </c>
      <c r="F468" s="3"/>
      <c r="G468" s="4" t="b">
        <v>1</v>
      </c>
      <c r="H468" s="5"/>
      <c r="I468" s="4" t="b">
        <v>1</v>
      </c>
      <c r="J468" s="5"/>
      <c r="K468" s="5"/>
      <c r="L468" s="5"/>
      <c r="M468" s="5"/>
      <c r="N468" s="2" t="str">
        <f>Table1[[#This Row],[Level1]]</f>
        <v>Mode &amp; Accessoarer</v>
      </c>
      <c r="O468" s="2" t="str">
        <f>Table1[[#This Row],[Level1]]
&amp;IF(Table1[[#This Row],[Level2]]&lt;&gt;""," &gt; "&amp;Table1[[#This Row],[Level2]],"")</f>
        <v>Mode &amp; Accessoarer &gt; Väskor &amp; förvaring</v>
      </c>
      <c r="P468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Väskor &amp; förvaring &gt; Rese­förvaring &amp; tillbehör</v>
      </c>
      <c r="Q468" s="6" t="s">
        <v>837</v>
      </c>
    </row>
    <row r="469" spans="1:17" x14ac:dyDescent="0.25">
      <c r="A469" s="1" t="s">
        <v>8</v>
      </c>
      <c r="B469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mode-och-accessoarer-vaskor-och-forvaring-ryggsackar</v>
      </c>
      <c r="C469" s="3" t="s">
        <v>288</v>
      </c>
      <c r="D469" s="3" t="s">
        <v>469</v>
      </c>
      <c r="E469" s="3" t="s">
        <v>289</v>
      </c>
      <c r="F469" s="3"/>
      <c r="G469" s="4" t="b">
        <v>1</v>
      </c>
      <c r="H469" s="5"/>
      <c r="I469" s="4" t="b">
        <v>1</v>
      </c>
      <c r="J469" s="5"/>
      <c r="K469" s="5"/>
      <c r="L469" s="5"/>
      <c r="M469" s="5"/>
      <c r="N469" s="2" t="str">
        <f>Table1[[#This Row],[Level1]]</f>
        <v>Mode &amp; Accessoarer</v>
      </c>
      <c r="O469" s="2" t="str">
        <f>Table1[[#This Row],[Level1]]
&amp;IF(Table1[[#This Row],[Level2]]&lt;&gt;""," &gt; "&amp;Table1[[#This Row],[Level2]],"")</f>
        <v>Mode &amp; Accessoarer &gt; Väskor &amp; förvaring</v>
      </c>
      <c r="P469" s="2" t="str">
        <f>Table1[[#This Row],[Level1]]
&amp;IF(Table1[[#This Row],[Level2]]&lt;&gt;""," &gt; "&amp;Table1[[#This Row],[Level2]],"")
&amp;IF(Table1[[#This Row],[Level3]]&lt;&gt;""," &gt; "&amp;Table1[[#This Row],[Level3]],"")</f>
        <v>Mode &amp; Accessoarer &gt; Väskor &amp; förvaring &gt; Ryggsäckar</v>
      </c>
      <c r="Q469" s="6" t="s">
        <v>838</v>
      </c>
    </row>
    <row r="470" spans="1:17" x14ac:dyDescent="0.25">
      <c r="A470" s="1" t="s">
        <v>8</v>
      </c>
      <c r="B470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hem-och-tradgard-verktyg-arbetshandskar-och-skydd</v>
      </c>
      <c r="C470" s="3" t="s">
        <v>146</v>
      </c>
      <c r="D470" s="3" t="s">
        <v>147</v>
      </c>
      <c r="E470" s="3" t="s">
        <v>413</v>
      </c>
      <c r="F470" s="3"/>
      <c r="G470" s="4" t="b">
        <v>1</v>
      </c>
      <c r="H470" s="5"/>
      <c r="I470" s="4" t="b">
        <v>1</v>
      </c>
      <c r="J470" s="5"/>
      <c r="K470" s="5"/>
      <c r="L470" s="5"/>
      <c r="M470" s="5"/>
      <c r="N470" s="2" t="str">
        <f>Table1[[#This Row],[Level1]]</f>
        <v>Hem &amp; Trädgård</v>
      </c>
      <c r="O470" s="2" t="str">
        <f>Table1[[#This Row],[Level1]]
&amp;IF(Table1[[#This Row],[Level2]]&lt;&gt;""," &gt; "&amp;Table1[[#This Row],[Level2]],"")</f>
        <v>Hem &amp; Trädgård &gt; Verktyg</v>
      </c>
      <c r="P470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Arbetshandskar &amp; skydd</v>
      </c>
      <c r="Q470" s="6" t="s">
        <v>606</v>
      </c>
    </row>
    <row r="471" spans="1:17" x14ac:dyDescent="0.25">
      <c r="A471" s="1" t="s">
        <v>8</v>
      </c>
      <c r="B471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hem-och-tradgard-verktyg-batterier-till-elverktyg</v>
      </c>
      <c r="C471" s="3" t="s">
        <v>146</v>
      </c>
      <c r="D471" s="3" t="s">
        <v>147</v>
      </c>
      <c r="E471" s="3" t="s">
        <v>417</v>
      </c>
      <c r="F471" s="3"/>
      <c r="G471" s="4" t="b">
        <v>1</v>
      </c>
      <c r="H471" s="5"/>
      <c r="I471" s="4" t="b">
        <v>1</v>
      </c>
      <c r="J471" s="5"/>
      <c r="K471" s="5"/>
      <c r="L471" s="5"/>
      <c r="M471" s="5"/>
      <c r="N471" s="2" t="str">
        <f>Table1[[#This Row],[Level1]]</f>
        <v>Hem &amp; Trädgård</v>
      </c>
      <c r="O471" s="2" t="str">
        <f>Table1[[#This Row],[Level1]]
&amp;IF(Table1[[#This Row],[Level2]]&lt;&gt;""," &gt; "&amp;Table1[[#This Row],[Level2]],"")</f>
        <v>Hem &amp; Trädgård &gt; Verktyg</v>
      </c>
      <c r="P471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Batterier till elverktyg</v>
      </c>
      <c r="Q471" s="6" t="s">
        <v>607</v>
      </c>
    </row>
    <row r="472" spans="1:17" x14ac:dyDescent="0.25">
      <c r="A472" s="1" t="s">
        <v>8</v>
      </c>
      <c r="B472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hem-och-tradgard-verktyg-elverktyg</v>
      </c>
      <c r="C472" s="3" t="s">
        <v>146</v>
      </c>
      <c r="D472" s="3" t="s">
        <v>147</v>
      </c>
      <c r="E472" s="3" t="s">
        <v>149</v>
      </c>
      <c r="F472" s="3"/>
      <c r="G472" s="4" t="b">
        <v>1</v>
      </c>
      <c r="H472" s="5"/>
      <c r="I472" s="4" t="b">
        <v>1</v>
      </c>
      <c r="J472" s="5"/>
      <c r="K472" s="5"/>
      <c r="L472" s="5"/>
      <c r="M472" s="5"/>
      <c r="N472" s="2" t="str">
        <f>Table1[[#This Row],[Level1]]</f>
        <v>Hem &amp; Trädgård</v>
      </c>
      <c r="O472" s="2" t="str">
        <f>Table1[[#This Row],[Level1]]
&amp;IF(Table1[[#This Row],[Level2]]&lt;&gt;""," &gt; "&amp;Table1[[#This Row],[Level2]],"")</f>
        <v>Hem &amp; Trädgård &gt; Verktyg</v>
      </c>
      <c r="P472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Elverktyg</v>
      </c>
      <c r="Q472" s="6" t="s">
        <v>608</v>
      </c>
    </row>
    <row r="473" spans="1:17" x14ac:dyDescent="0.25">
      <c r="A473" s="1" t="s">
        <v>8</v>
      </c>
      <c r="B473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hem-och-tradgard-verktyg-handverktyg-och-tillbehor</v>
      </c>
      <c r="C473" s="3" t="s">
        <v>146</v>
      </c>
      <c r="D473" s="3" t="s">
        <v>147</v>
      </c>
      <c r="E473" s="3" t="s">
        <v>415</v>
      </c>
      <c r="F473" s="3"/>
      <c r="G473" s="4" t="b">
        <v>1</v>
      </c>
      <c r="H473" s="5"/>
      <c r="I473" s="4" t="b">
        <v>1</v>
      </c>
      <c r="J473" s="5"/>
      <c r="K473" s="5"/>
      <c r="L473" s="5"/>
      <c r="M473" s="5"/>
      <c r="N473" s="2" t="str">
        <f>Table1[[#This Row],[Level1]]</f>
        <v>Hem &amp; Trädgård</v>
      </c>
      <c r="O473" s="2" t="str">
        <f>Table1[[#This Row],[Level1]]
&amp;IF(Table1[[#This Row],[Level2]]&lt;&gt;""," &gt; "&amp;Table1[[#This Row],[Level2]],"")</f>
        <v>Hem &amp; Trädgård &gt; Verktyg</v>
      </c>
      <c r="P473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Handverktyg &amp; tillbehör</v>
      </c>
      <c r="Q473" s="6" t="s">
        <v>609</v>
      </c>
    </row>
    <row r="474" spans="1:17" x14ac:dyDescent="0.25">
      <c r="A474" s="1" t="s">
        <v>8</v>
      </c>
      <c r="B474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hem-och-tradgard-verktyg-matverktyg-och-inspektion</v>
      </c>
      <c r="C474" s="3" t="s">
        <v>146</v>
      </c>
      <c r="D474" s="3" t="s">
        <v>147</v>
      </c>
      <c r="E474" s="3" t="s">
        <v>414</v>
      </c>
      <c r="F474" s="3"/>
      <c r="G474" s="4" t="b">
        <v>1</v>
      </c>
      <c r="H474" s="5"/>
      <c r="I474" s="4" t="b">
        <v>1</v>
      </c>
      <c r="J474" s="5"/>
      <c r="K474" s="5"/>
      <c r="L474" s="5"/>
      <c r="M474" s="5"/>
      <c r="N474" s="2" t="str">
        <f>Table1[[#This Row],[Level1]]</f>
        <v>Hem &amp; Trädgård</v>
      </c>
      <c r="O474" s="2" t="str">
        <f>Table1[[#This Row],[Level1]]
&amp;IF(Table1[[#This Row],[Level2]]&lt;&gt;""," &gt; "&amp;Table1[[#This Row],[Level2]],"")</f>
        <v>Hem &amp; Trädgård &gt; Verktyg</v>
      </c>
      <c r="P474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Mätverktyg &amp; inspektion</v>
      </c>
      <c r="Q474" s="6" t="s">
        <v>610</v>
      </c>
    </row>
    <row r="475" spans="1:17" x14ac:dyDescent="0.25">
      <c r="A475" s="1" t="s">
        <v>8</v>
      </c>
      <c r="B475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hem-och-tradgard-verktyg-monteringsverktyg-och-fastdon</v>
      </c>
      <c r="C475" s="3" t="s">
        <v>146</v>
      </c>
      <c r="D475" s="3" t="s">
        <v>147</v>
      </c>
      <c r="E475" s="3" t="s">
        <v>416</v>
      </c>
      <c r="F475" s="3"/>
      <c r="G475" s="4" t="b">
        <v>1</v>
      </c>
      <c r="H475" s="5"/>
      <c r="I475" s="4" t="b">
        <v>1</v>
      </c>
      <c r="J475" s="5"/>
      <c r="K475" s="5"/>
      <c r="L475" s="5"/>
      <c r="M475" s="5"/>
      <c r="N475" s="2" t="str">
        <f>Table1[[#This Row],[Level1]]</f>
        <v>Hem &amp; Trädgård</v>
      </c>
      <c r="O475" s="2" t="str">
        <f>Table1[[#This Row],[Level1]]
&amp;IF(Table1[[#This Row],[Level2]]&lt;&gt;""," &gt; "&amp;Table1[[#This Row],[Level2]],"")</f>
        <v>Hem &amp; Trädgård &gt; Verktyg</v>
      </c>
      <c r="P475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Monteringsverktyg &amp; fästdon</v>
      </c>
      <c r="Q475" s="6" t="s">
        <v>611</v>
      </c>
    </row>
    <row r="476" spans="1:17" x14ac:dyDescent="0.25">
      <c r="A476" s="1" t="s">
        <v>8</v>
      </c>
      <c r="B476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hem-och-tradgard-verktyg-ovriga-verktyg</v>
      </c>
      <c r="C476" s="3" t="s">
        <v>146</v>
      </c>
      <c r="D476" s="3" t="s">
        <v>147</v>
      </c>
      <c r="E476" s="3" t="s">
        <v>150</v>
      </c>
      <c r="F476" s="3"/>
      <c r="G476" s="4" t="b">
        <v>1</v>
      </c>
      <c r="H476" s="5"/>
      <c r="I476" s="4" t="b">
        <v>1</v>
      </c>
      <c r="J476" s="5"/>
      <c r="K476" s="5"/>
      <c r="L476" s="5"/>
      <c r="M476" s="5"/>
      <c r="N476" s="2" t="str">
        <f>Table1[[#This Row],[Level1]]</f>
        <v>Hem &amp; Trädgård</v>
      </c>
      <c r="O476" s="2" t="str">
        <f>Table1[[#This Row],[Level1]]
&amp;IF(Table1[[#This Row],[Level2]]&lt;&gt;""," &gt; "&amp;Table1[[#This Row],[Level2]],"")</f>
        <v>Hem &amp; Trädgård &gt; Verktyg</v>
      </c>
      <c r="P476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Övriga verktyg</v>
      </c>
      <c r="Q476" s="6" t="s">
        <v>612</v>
      </c>
    </row>
    <row r="477" spans="1:17" x14ac:dyDescent="0.25">
      <c r="A477" s="1" t="s">
        <v>8</v>
      </c>
      <c r="B477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hem-och-tradgard-verktyg-reparationsverktyg</v>
      </c>
      <c r="C477" s="3" t="s">
        <v>146</v>
      </c>
      <c r="D477" s="3" t="s">
        <v>147</v>
      </c>
      <c r="E477" s="3" t="s">
        <v>148</v>
      </c>
      <c r="F477" s="3"/>
      <c r="G477" s="4" t="b">
        <v>1</v>
      </c>
      <c r="H477" s="5"/>
      <c r="I477" s="4" t="b">
        <v>1</v>
      </c>
      <c r="J477" s="5"/>
      <c r="K477" s="5"/>
      <c r="L477" s="5"/>
      <c r="M477" s="5"/>
      <c r="N477" s="2" t="str">
        <f>Table1[[#This Row],[Level1]]</f>
        <v>Hem &amp; Trädgård</v>
      </c>
      <c r="O477" s="2" t="str">
        <f>Table1[[#This Row],[Level1]]
&amp;IF(Table1[[#This Row],[Level2]]&lt;&gt;""," &gt; "&amp;Table1[[#This Row],[Level2]],"")</f>
        <v>Hem &amp; Trädgård &gt; Verktyg</v>
      </c>
      <c r="P477" s="2" t="str">
        <f>Table1[[#This Row],[Level1]]
&amp;IF(Table1[[#This Row],[Level2]]&lt;&gt;""," &gt; "&amp;Table1[[#This Row],[Level2]],"")
&amp;IF(Table1[[#This Row],[Level3]]&lt;&gt;""," &gt; "&amp;Table1[[#This Row],[Level3]],"")</f>
        <v>Hem &amp; Trädgård &gt; Verktyg &gt; Reparationsverktyg</v>
      </c>
      <c r="Q477" s="6" t="s">
        <v>613</v>
      </c>
    </row>
    <row r="478" spans="1:17" x14ac:dyDescent="0.25">
      <c r="A478" s="1" t="s">
        <v>8</v>
      </c>
      <c r="B478" s="2" t="str">
        <f>IF(
  _xlfn.TEXTJOIN("_", TRUE, Table1[[#This Row],[Level1]], Table1[[#This Row],[Level2]], Table1[[#This Row],[Level3]], Table1[[#This Row],[Level4]])="",
  "",
  SUBSTITUTE(
    SUBSTITUTE(
      TRIM(
        SUBSTITUTE(
          SUBSTITUTE(
            SUBSTITUTE(
              SUBSTITUTE(
                SUBSTITUTE(
                  SUBSTITUTE(
                   SUBSTITUTE(
                    SUBSTITUTE(
                      LOWER(_xlfn.TEXTJOIN("_", TRUE, Table1[[#This Row],[Level1]], Table1[[#This Row],[Level2]], Table1[[#This Row],[Level3]], Table1[[#This Row],[Level4]])),
                      "&amp;", " och "
                    ),
                    "å", "a"
                  ),
                  "ä", "a"
                ),
                "ö", "o"
              ),
              "é", "e"
              ),
             ",", ""
            ),
            "_", " "
          ),
          "-", " "
        )
      ),
      " ", "-"
    ),
    "--", "-"
  )
)</f>
        <v>halsa-och-skonhet</v>
      </c>
      <c r="C478" s="3" t="s">
        <v>14</v>
      </c>
      <c r="D478" s="3"/>
      <c r="E478" s="3"/>
      <c r="F478" s="3"/>
      <c r="G478" s="4" t="b">
        <v>1</v>
      </c>
      <c r="H478" s="5"/>
      <c r="I478" s="4" t="b">
        <v>1</v>
      </c>
      <c r="J478" s="5"/>
      <c r="K478" s="5"/>
      <c r="L478" s="5"/>
      <c r="M478" s="5"/>
      <c r="N478" s="2" t="str">
        <f>Table1[[#This Row],[Level1]]</f>
        <v>Hälsa &amp; Skönhet</v>
      </c>
      <c r="O478" s="2" t="str">
        <f>Table1[[#This Row],[Level1]]
&amp;IF(Table1[[#This Row],[Level2]]&lt;&gt;""," &gt; "&amp;Table1[[#This Row],[Level2]],"")</f>
        <v>Hälsa &amp; Skönhet</v>
      </c>
      <c r="P478" s="2" t="str">
        <f>Table1[[#This Row],[Level1]]
&amp;IF(Table1[[#This Row],[Level2]]&lt;&gt;""," &gt; "&amp;Table1[[#This Row],[Level2]],"")
&amp;IF(Table1[[#This Row],[Level3]]&lt;&gt;""," &gt; "&amp;Table1[[#This Row],[Level3]],"")</f>
        <v>Hälsa &amp; Skönhet</v>
      </c>
      <c r="Q478" s="6" t="s">
        <v>898</v>
      </c>
    </row>
  </sheetData>
  <phoneticPr fontId="1" type="noConversion"/>
  <conditionalFormatting sqref="C2:F478">
    <cfRule type="notContainsBlanks" dxfId="3" priority="4">
      <formula>LEN(TRIM(C2))&gt;0</formula>
    </cfRule>
  </conditionalFormatting>
  <conditionalFormatting sqref="E2:E478">
    <cfRule type="duplicateValues" dxfId="2" priority="2"/>
  </conditionalFormatting>
  <conditionalFormatting sqref="O2:O478">
    <cfRule type="duplicateValues" dxfId="1" priority="1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Jonsson</dc:creator>
  <cp:lastModifiedBy>GadgetBay - Thomas</cp:lastModifiedBy>
  <dcterms:created xsi:type="dcterms:W3CDTF">2015-06-05T18:17:20Z</dcterms:created>
  <dcterms:modified xsi:type="dcterms:W3CDTF">2026-01-04T18:05:20Z</dcterms:modified>
</cp:coreProperties>
</file>